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7ba3259a6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e75a91c2cb4ff1"/>
    <x:sheet xmlns:r="http://schemas.openxmlformats.org/officeDocument/2006/relationships" name="Lineage" sheetId="2" r:id="Rc255947223674ca1"/>
    <x:sheet xmlns:r="http://schemas.openxmlformats.org/officeDocument/2006/relationships" name="Data" sheetId="3" r:id="Raf1db8c11b95419a"/>
    <x:sheet xmlns:r="http://schemas.openxmlformats.org/officeDocument/2006/relationships" name="Culture" sheetId="4" r:id="Rb4b421f810c84681"/>
    <x:sheet xmlns:r="http://schemas.openxmlformats.org/officeDocument/2006/relationships" name="Divinity" sheetId="5" r:id="R3efec5a9370f49fd"/>
    <x:sheet xmlns:r="http://schemas.openxmlformats.org/officeDocument/2006/relationships" name="WeaponFamily" sheetId="6" r:id="R6c701933ac46432e"/>
    <x:sheet xmlns:r="http://schemas.openxmlformats.org/officeDocument/2006/relationships" name="AttackPattern" sheetId="7" r:id="Ra4630c98dcc3476f"/>
    <x:sheet xmlns:r="http://schemas.openxmlformats.org/officeDocument/2006/relationships" name="Weapon" sheetId="8" r:id="Raa5f222b9fe441a7"/>
    <x:sheet xmlns:r="http://schemas.openxmlformats.org/officeDocument/2006/relationships" name="ParameterDefinition" sheetId="9" r:id="R17d3e6732cc74e73"/>
    <x:sheet xmlns:r="http://schemas.openxmlformats.org/officeDocument/2006/relationships" name="Upgrade" sheetId="10" r:id="R20c9d4c40d6744b7"/>
    <x:sheet xmlns:r="http://schemas.openxmlformats.org/officeDocument/2006/relationships" name="ProgressionEdge" sheetId="11" r:id="R0448c5ee61144a17"/>
    <x:sheet xmlns:r="http://schemas.openxmlformats.org/officeDocument/2006/relationships" name="Effect" sheetId="12" r:id="Rd61dc42215794a34"/>
    <x:sheet xmlns:r="http://schemas.openxmlformats.org/officeDocument/2006/relationships" name="UpgradeEffect" sheetId="13" r:id="R3085d51dc500499a"/>
    <x:sheet xmlns:r="http://schemas.openxmlformats.org/officeDocument/2006/relationships" name="NumericValue" sheetId="14" r:id="R1451d1b72d1a44d0"/>
    <x:sheet xmlns:r="http://schemas.openxmlformats.org/officeDocument/2006/relationships" name="CardCandidate" sheetId="15" r:id="R644c857cdcfa47e7"/>
    <x:sheet xmlns:r="http://schemas.openxmlformats.org/officeDocument/2006/relationships" name="Text" sheetId="16" r:id="R7ca8b844f82a48ff"/>
    <x:sheet xmlns:r="http://schemas.openxmlformats.org/officeDocument/2006/relationships" name="StageDefinition" sheetId="17" r:id="R7fca08acc8ff4977"/>
    <x:sheet xmlns:r="http://schemas.openxmlformats.org/officeDocument/2006/relationships" name="Pending" sheetId="18" r:id="R0f5807a021844891"/>
    <x:sheet xmlns:r="http://schemas.openxmlformats.org/officeDocument/2006/relationships" name="Schema" sheetId="19" r:id="R295ba599817b45a9"/>
    <x:sheet xmlns:r="http://schemas.openxmlformats.org/officeDocument/2006/relationships" name="Audit" sheetId="20" r:id="Rc9812c7e5b66457d"/>
    <x:sheet xmlns:r="http://schemas.openxmlformats.org/officeDocument/2006/relationships" name="ReadMe" sheetId="21" r:id="R28c081375814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"/>
    <x:numFmt numFmtId="202" formatCode="0"/>
  </x:numFmts>
  <x:fonts count="8">
    <x:font>
      <x:sz val="11"/>
      <x:name val="Carlito"/>
    </x:font>
    <x:font>
      <x:sz val="10"/>
      <x:color rgb="FF2030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263E59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9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3CD"/>
        </x:patternFill>
      </x:fill>
    </x:dxf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6928f83c143ec" /><Relationship Type="http://schemas.openxmlformats.org/officeDocument/2006/relationships/theme" Target="/xl/theme/theme1.xml" Id="R9b24315505424952" /><Relationship Type="http://schemas.microsoft.com/office/2022/11/relationships/FeaturePropertyBag" Target="/xl/featurePropertyBag/featurePropertyBag.xml" Id="R6a683e76611d4307" /><Relationship Type="http://schemas.openxmlformats.org/officeDocument/2006/relationships/sharedStrings" Target="/xl/sharedStrings.xml" Id="Rac7c8ddfcece4ecc" /><Relationship Type="http://schemas.openxmlformats.org/officeDocument/2006/relationships/worksheet" Target="/xl/worksheets/sheet1.xml" Id="Rc9e75a91c2cb4ff1" /><Relationship Type="http://schemas.openxmlformats.org/officeDocument/2006/relationships/worksheet" Target="/xl/worksheets/sheet2.xml" Id="Rc255947223674ca1" /><Relationship Type="http://schemas.openxmlformats.org/officeDocument/2006/relationships/worksheet" Target="/xl/worksheets/sheet3.xml" Id="Raf1db8c11b95419a" /><Relationship Type="http://schemas.openxmlformats.org/officeDocument/2006/relationships/worksheet" Target="/xl/worksheets/sheet4.xml" Id="Rb4b421f810c84681" /><Relationship Type="http://schemas.openxmlformats.org/officeDocument/2006/relationships/worksheet" Target="/xl/worksheets/sheet5.xml" Id="R3efec5a9370f49fd" /><Relationship Type="http://schemas.openxmlformats.org/officeDocument/2006/relationships/worksheet" Target="/xl/worksheets/sheet6.xml" Id="R6c701933ac46432e" /><Relationship Type="http://schemas.openxmlformats.org/officeDocument/2006/relationships/worksheet" Target="/xl/worksheets/sheet7.xml" Id="Ra4630c98dcc3476f" /><Relationship Type="http://schemas.openxmlformats.org/officeDocument/2006/relationships/worksheet" Target="/xl/worksheets/sheet8.xml" Id="Raa5f222b9fe441a7" /><Relationship Type="http://schemas.openxmlformats.org/officeDocument/2006/relationships/worksheet" Target="/xl/worksheets/sheet9.xml" Id="R17d3e6732cc74e73" /><Relationship Type="http://schemas.openxmlformats.org/officeDocument/2006/relationships/worksheet" Target="/xl/worksheets/sheet10.xml" Id="R20c9d4c40d6744b7" /><Relationship Type="http://schemas.openxmlformats.org/officeDocument/2006/relationships/worksheet" Target="/xl/worksheets/sheet11.xml" Id="R0448c5ee61144a17" /><Relationship Type="http://schemas.openxmlformats.org/officeDocument/2006/relationships/worksheet" Target="/xl/worksheets/sheet12.xml" Id="Rd61dc42215794a34" /><Relationship Type="http://schemas.openxmlformats.org/officeDocument/2006/relationships/worksheet" Target="/xl/worksheets/sheet13.xml" Id="R3085d51dc500499a" /><Relationship Type="http://schemas.openxmlformats.org/officeDocument/2006/relationships/worksheet" Target="/xl/worksheets/sheet14.xml" Id="R1451d1b72d1a44d0" /><Relationship Type="http://schemas.openxmlformats.org/officeDocument/2006/relationships/worksheet" Target="/xl/worksheets/sheet15.xml" Id="R644c857cdcfa47e7" /><Relationship Type="http://schemas.openxmlformats.org/officeDocument/2006/relationships/worksheet" Target="/xl/worksheets/sheet16.xml" Id="R7ca8b844f82a48ff" /><Relationship Type="http://schemas.openxmlformats.org/officeDocument/2006/relationships/worksheet" Target="/xl/worksheets/sheet17.xml" Id="R7fca08acc8ff4977" /><Relationship Type="http://schemas.openxmlformats.org/officeDocument/2006/relationships/worksheet" Target="/xl/worksheets/sheet18.xml" Id="R0f5807a021844891" /><Relationship Type="http://schemas.openxmlformats.org/officeDocument/2006/relationships/worksheet" Target="/xl/worksheets/sheet19.xml" Id="R295ba599817b45a9" /><Relationship Type="http://schemas.openxmlformats.org/officeDocument/2006/relationships/worksheet" Target="/xl/worksheets/sheet20.xml" Id="Rc9812c7e5b66457d" /><Relationship Type="http://schemas.openxmlformats.org/officeDocument/2006/relationships/worksheet" Target="/xl/worksheets/sheet21.xml" Id="R28c08137581446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Culture" displayName="tCulture" ref="A1:B3" headerRowCount="1" totalsRowCount="0" totalsRowShown="0">
  <x:tableColumns count="2">
    <x:tableColumn id="1" name="culture_id"/>
    <x:tableColumn id="2" name="name_k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ivinity" displayName="tDivinity" ref="A1:I8" headerRowCount="1" totalsRowCount="0" totalsRowShown="0">
  <x:tableColumns count="9">
    <x:tableColumn id="1" name="divinity_id"/>
    <x:tableColumn id="2" name="name_key"/>
    <x:tableColumn id="3" name="culture_id"/>
    <x:tableColumn id="4" name="theme"/>
    <x:tableColumn id="5" name="myth_basis"/>
    <x:tableColumn id="6" name="adaptation"/>
    <x:tableColumn id="7" name="source_url"/>
    <x:tableColumn id="8" name="condition_status"/>
    <x:tableColumn id="9" name="enabl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WeaponFamily" displayName="tWeaponFamily" ref="A1:B8" headerRowCount="1" totalsRowCount="0" totalsRowShown="0">
  <x:tableColumns count="2">
    <x:tableColumn id="1" name="family_id"/>
    <x:tableColumn id="2" name="name_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ttackPattern" displayName="tAttackPattern" ref="A1:F8" headerRowCount="1" totalsRowCount="0" totalsRowShown="0">
  <x:tableColumns count="6">
    <x:tableColumn id="1" name="pattern_id"/>
    <x:tableColumn id="2" name="family_id"/>
    <x:tableColumn id="3" name="attack_mode"/>
    <x:tableColumn id="4" name="special_action"/>
    <x:tableColumn id="5" name="action_description"/>
    <x:tableColumn id="6" name="implementatio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Weapon" displayName="tWeapon" ref="A1:F8" headerRowCount="1" totalsRowCount="0" totalsRowShown="0">
  <x:tableColumns count="6">
    <x:tableColumn id="1" name="weapon_id"/>
    <x:tableColumn id="2" name="name_key"/>
    <x:tableColumn id="3" name="family_id"/>
    <x:tableColumn id="4" name="attack_pattern_id"/>
    <x:tableColumn id="5" name="design_key"/>
    <x:tableColumn id="6" name="enabl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ParameterDefinition" displayName="tParameterDefinition" ref="A1:G23" headerRowCount="1" totalsRowCount="0" totalsRowShown="0">
  <x:tableColumns count="7">
    <x:tableColumn id="1" name="parameter_id"/>
    <x:tableColumn id="2" name="value_type"/>
    <x:tableColumn id="3" name="unit"/>
    <x:tableColumn id="4" name="min_value"/>
    <x:tableColumn id="5" name="max_value"/>
    <x:tableColumn id="6" name="meaning"/>
    <x:tableColumn id="7" name="allow_zer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Upgrade" displayName="tUpgrade" ref="A1:G29" headerRowCount="1" totalsRowCount="0" totalsRowShown="0">
  <x:tableColumns count="7">
    <x:tableColumn id="1" name="upgrade_id"/>
    <x:tableColumn id="2" name="name_key"/>
    <x:tableColumn id="3" name="weapon_family_id"/>
    <x:tableColumn id="4" name="stage_index"/>
    <x:tableColumn id="5" name="design_key"/>
    <x:tableColumn id="6" name="apply_policy"/>
    <x:tableColumn id="7" name="enabl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ProgressionEdge" displayName="tProgressionEdge" ref="A1:D29" headerRowCount="1" totalsRowCount="0" totalsRowShown="0">
  <x:tableColumns count="4">
    <x:tableColumn id="1" name="edge_id"/>
    <x:tableColumn id="2" name="from_type"/>
    <x:tableColumn id="3" name="from_id"/>
    <x:tableColumn id="4" name="to_upgrade_i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ffect" displayName="tEffect" ref="A1:F47" headerRowCount="1" totalsRowCount="0" totalsRowShown="0">
  <x:tableColumns count="6">
    <x:tableColumn id="1" name="effect_id"/>
    <x:tableColumn id="2" name="layer"/>
    <x:tableColumn id="3" name="profile_key"/>
    <x:tableColumn id="4" name="description"/>
    <x:tableColumn id="5" name="failure_policy"/>
    <x:tableColumn id="6" name="implementation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UpgradeEffect" displayName="tUpgradeEffect" ref="A1:F47" headerRowCount="1" totalsRowCount="0" totalsRowShown="0">
  <x:tableColumns count="6">
    <x:tableColumn id="1" name="upgrade_id"/>
    <x:tableColumn id="2" name="effect_id"/>
    <x:tableColumn id="3" name="order_index"/>
    <x:tableColumn id="4" name="layer"/>
    <x:tableColumn id="5" name="divinity_id"/>
    <x:tableColumn id="6" name="min_divinity_stag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NumericValue" displayName="tNumericValue" ref="A1:F180" headerRowCount="1" totalsRowCount="0" totalsRowShown="0">
  <x:tableColumns count="6">
    <x:tableColumn id="1" name="owner_table"/>
    <x:tableColumn id="2" name="owner_id"/>
    <x:tableColumn id="3" name="parameter_id"/>
    <x:tableColumn id="4" name="number_value"/>
    <x:tableColumn id="5" name="value_status"/>
    <x:tableColumn id="6" name="value_basi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CardCandidate" displayName="tCardCandidate" ref="A1:H15" headerRowCount="1" totalsRowCount="0" totalsRowShown="0">
  <x:tableColumns count="8">
    <x:tableColumn id="1" name="card_id"/>
    <x:tableColumn id="2" name="name_key"/>
    <x:tableColumn id="3" name="category"/>
    <x:tableColumn id="4" name="theme_divinity_id"/>
    <x:tableColumn id="5" name="access_policy"/>
    <x:tableColumn id="6" name="design_effect"/>
    <x:tableColumn id="7" name="enabled"/>
    <x:tableColumn id="8" name="effect_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Text" displayName="tText" ref="A1:C64" headerRowCount="1" totalsRowCount="0" totalsRowShown="0">
  <x:tableColumns count="3">
    <x:tableColumn id="1" name="name_key"/>
    <x:tableColumn id="2" name="locale"/>
    <x:tableColumn id="3" name="tex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tageDefinition" displayName="tStageDefinition" ref="A1:C7" headerRowCount="1" totalsRowCount="0" totalsRowShown="0">
  <x:tableColumns count="3">
    <x:tableColumn id="1" name="stage_domain"/>
    <x:tableColumn id="2" name="stage_index"/>
    <x:tableColumn id="3" name="name_k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Pending" displayName="tPending" ref="A1:D9" headerRowCount="1" totalsRowCount="0" totalsRowShown="0">
  <x:tableColumns count="4">
    <x:tableColumn id="1" name="work_id"/>
    <x:tableColumn id="2" name="table_name"/>
    <x:tableColumn id="3" name="remaining"/>
    <x:tableColumn id="4" name="comple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Schema" displayName="tSchema" ref="A1:H76" headerRowCount="1" totalsRowCount="0" totalsRowShown="0">
  <x:tableColumns count="8">
    <x:tableColumn id="1" name="table_name"/>
    <x:tableColumn id="2" name="field_name"/>
    <x:tableColumn id="3" name="data_type"/>
    <x:tableColumn id="4" name="required"/>
    <x:tableColumn id="5" name="key_order"/>
    <x:tableColumn id="6" name="fk_table"/>
    <x:tableColumn id="7" name="fk_column"/>
    <x:tableColumn id="8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6b865f2faf54d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4c5b313c6024e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54908ea73cb4e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39e5dde8e6748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a24cf5de20144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687f696e20434d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8dd31415dac40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6eeefadbbb341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6060049ea95948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1a58466b5744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af002e552e848d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dc947c8f90ef471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7bc521b7ac994a3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205d1e628e15456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2e07566d41184a4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c13f0d571bfd412f" /></Relationships>
</file>

<file path=xl/worksheets/sheet1.xml><?xml version="1.0" encoding="utf-8"?>
<x:worksheet xmlns:x="http://schemas.openxmlformats.org/spreadsheetml/2006/main">
  <x:sheetPr>
    <x:tabColor rgb="FF263E59"/>
  </x:sheetPr>
  <x:sheetViews>
    <x:sheetView showGridLines="0" workbookViewId="0"/>
  </x:sheetViews>
  <x:sheetFormatPr defaultRowHeight="15"/>
  <x:cols>
    <x:col min="2" max="2" width="24" hidden="0" customWidth="1"/>
    <x:col min="3" max="3" width="26" hidden="0" customWidth="1"/>
    <x:col min="4" max="4" width="46" hidden="0" customWidth="1"/>
  </x:cols>
  <x:sheetData>
    <x:row r="2">
      <x:c r="B2" s="22" t="str">
        <x:v>신화 무기 데이터 v0.1</x:v>
      </x:c>
    </x:row>
    <x:row r="4" ht="30" customHeight="1">
      <x:c r="B4" s="25" t="str">
        <x:v>구분</x:v>
      </x:c>
      <x:c r="C4" s="25" t="str">
        <x:v>행 수</x:v>
      </x:c>
      <x:c r="D4" s="25" t="str">
        <x:v>현재 범위</x:v>
      </x:c>
    </x:row>
    <x:row r="5" ht="30" customHeight="1">
      <x:c r="B5" s="23" t="str">
        <x:v>신격</x:v>
      </x:c>
      <x:c r="C5" s="23" t="n">
        <x:f>COUNTA('Divinity'!$A$2:$A$1001)</x:f>
        <x:v>7</x:v>
      </x:c>
      <x:c r="D5" s="23" t="str">
        <x:v>실제 신화 7신</x:v>
      </x:c>
    </x:row>
    <x:row r="6" ht="30" customHeight="1">
      <x:c r="B6" s="23" t="str">
        <x:v>1차 무기</x:v>
      </x:c>
      <x:c r="C6" s="23" t="n">
        <x:f>COUNTA('Weapon'!$A$2:$A$1001)</x:f>
        <x:v>7</x:v>
      </x:c>
      <x:c r="D6" s="23" t="str">
        <x:v>기본 조작</x:v>
      </x:c>
    </x:row>
    <x:row r="7" ht="30" customHeight="1">
      <x:c r="B7" s="23" t="str">
        <x:v>2차 강화</x:v>
      </x:c>
      <x:c r="C7" s="23" t="n">
        <x:f>COUNTIFS('Upgrade'!$D$2:$D$1001,2)</x:f>
        <x:v>10</x:v>
      </x:c>
      <x:c r="D7" s="23" t="str">
        <x:v>공통 기능 분기</x:v>
      </x:c>
    </x:row>
    <x:row r="8" ht="30" customHeight="1">
      <x:c r="B8" s="23" t="str">
        <x:v>3차 강화</x:v>
      </x:c>
      <x:c r="C8" s="23" t="n">
        <x:f>COUNTIFS('Upgrade'!$D$2:$D$1001,3)</x:f>
        <x:v>18</x:v>
      </x:c>
      <x:c r="D8" s="23" t="str">
        <x:v>설화 기반 완성형</x:v>
      </x:c>
    </x:row>
    <x:row r="9" ht="30" customHeight="1">
      <x:c r="B9" s="23" t="str">
        <x:v>성장 연결</x:v>
      </x:c>
      <x:c r="C9" s="23" t="n">
        <x:f>COUNTA('ProgressionEdge'!$A$2:$A$1001)</x:f>
        <x:v>28</x:v>
      </x:c>
      <x:c r="D9" s="23" t="str">
        <x:v>무기 종류 유지</x:v>
      </x:c>
    </x:row>
    <x:row r="10" ht="30" customHeight="1">
      <x:c r="B10" s="23" t="str">
        <x:v>효과 프로필</x:v>
      </x:c>
      <x:c r="C10" s="23" t="n">
        <x:f>COUNTA('Effect'!$A$2:$A$1001)</x:f>
        <x:v>46</x:v>
      </x:c>
      <x:c r="D10" s="23" t="str">
        <x:v>기본 기능과 신성 공명 분리</x:v>
      </x:c>
    </x:row>
    <x:row r="11" ht="30" customHeight="1">
      <x:c r="B11" s="23" t="str">
        <x:v>카드 후보</x:v>
      </x:c>
      <x:c r="C11" s="23" t="n">
        <x:f>COUNTA('CardCandidate'!$A$2:$A$1001)</x:f>
        <x:v>14</x:v>
      </x:c>
      <x:c r="D11" s="23" t="str">
        <x:v>정식 효과·태그 연결은 후속</x:v>
      </x:c>
    </x:row>
    <x:row r="12" ht="30" customHeight="1">
      <x:c r="B12" s="23" t="str">
        <x:v>미정 수치</x:v>
      </x:c>
      <x:c r="C12" s="23" t="n">
        <x:f>COUNTIFS('NumericValue'!$E$2:$E$1001,"pending")</x:f>
        <x:v>175</x:v>
      </x:c>
      <x:c r="D12" s="23" t="str">
        <x:v>빈 값은 0이 아님</x:v>
      </x:c>
    </x:row>
    <x:row r="13" ht="30" customHeight="1">
      <x:c r="B13" s="23"/>
      <x:c r="C13" s="23"/>
      <x:c r="D13" s="23"/>
    </x:row>
    <x:row r="14" ht="30" customHeight="1">
      <x:c r="B14" s="23"/>
      <x:c r="C14" s="23"/>
      <x:c r="D14" s="23"/>
    </x:row>
    <x:row r="15" ht="30" customHeight="1">
      <x:c r="B15" s="25" t="str">
        <x:v>숫자 원칙</x:v>
      </x:c>
      <x:c r="C15" s="25" t="str">
        <x:v>표현</x:v>
      </x:c>
      <x:c r="D15" s="25" t="str">
        <x:v>의미</x:v>
      </x:c>
    </x:row>
    <x:row r="16" ht="30" customHeight="1">
      <x:c r="B16" s="23" t="str">
        <x:v>단계·순서</x:v>
      </x:c>
      <x:c r="C16" s="23" t="str">
        <x:v>정수</x:v>
      </x:c>
      <x:c r="D16" s="23" t="str">
        <x:v>stage_index / order_index</x:v>
      </x:c>
    </x:row>
    <x:row r="17" ht="30" customHeight="1">
      <x:c r="B17" s="23" t="str">
        <x:v>시간</x:v>
      </x:c>
      <x:c r="C17" s="23" t="str">
        <x:v>초</x:v>
      </x:c>
      <x:c r="D17" s="23" t="str">
        <x:v>1.5는 1.5초</x:v>
      </x:c>
    </x:row>
    <x:row r="18" ht="30" customHeight="1">
      <x:c r="B18" s="23" t="str">
        <x:v>배율·확률</x:v>
      </x:c>
      <x:c r="C18" s="23" t="str">
        <x:v>실수</x:v>
      </x:c>
      <x:c r="D18" s="23" t="str">
        <x:v>배율 1은 100%, 확률은 0~1</x:v>
      </x:c>
    </x:row>
    <x:row r="19" ht="30" customHeight="1">
      <x:c r="B19" s="23" t="str">
        <x:v>값 미정</x:v>
      </x:c>
      <x:c r="C19" s="23" t="str">
        <x:v>빈 셀 + pending</x:v>
      </x:c>
      <x:c r="D19" s="23" t="str">
        <x:v>0은 실제 0일 때만 입력</x:v>
      </x:c>
    </x:row>
    <x:row r="20" ht="30" customHeight="1">
      <x:c r="B20" s="23" t="str">
        <x:v>실행 상태</x:v>
      </x:c>
      <x:c r="C20" s="23" t="str">
        <x:v>enabled = FALSE</x:v>
      </x:c>
      <x:c r="D20" s="23" t="str">
        <x:v>밸런스·행동·로더 연결 전 사용 금지</x:v>
      </x:c>
    </x:row>
    <x:row r="23">
      <x:c r="B23" t="str">
        <x:v>기준: 무기 계보 build-0.3 / 2026-10-11</x:v>
      </x:c>
    </x:row>
    <x:row r="24">
      <x:c r="B24" t="str">
        <x:v>계보는 Lineage, 참조 검사는 Audit, 미정 작업은 Pending에서 확인합니다.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32" hidden="0" customWidth="1"/>
  </x:cols>
  <x:sheetData>
    <x:row r="1" ht="32" customHeight="1">
      <x:c r="A1" s="21" t="str">
        <x:v>3차 ID</x:v>
      </x:c>
      <x:c r="B1" s="21" t="str">
        <x:v>신격</x:v>
      </x:c>
      <x:c r="C1" s="21" t="str">
        <x:v>무기 종류</x:v>
      </x:c>
      <x:c r="D1" s="21" t="str">
        <x:v>1차 무기</x:v>
      </x:c>
      <x:c r="E1" s="21" t="str">
        <x:v>2차 무기</x:v>
      </x:c>
      <x:c r="F1" s="21" t="str">
        <x:v>3차 무기</x:v>
      </x:c>
      <x:c r="G1" s="21" t="str">
        <x:v>2차 ID</x:v>
      </x:c>
      <x:c r="H1" s="21" t="str">
        <x:v>1차 ID</x:v>
      </x:c>
    </x:row>
    <x:row r="2" ht="30" customHeight="1">
      <x:c r="A2" s="19" t="str">
        <x:v>upgrade_m3_zeu_sp</x:v>
      </x:c>
      <x:c r="B2" s="19" t="str">
        <x:f>INDEX('Text'!$C$2:$C$1001,MATCH(INDEX('Divinity'!$B$2:$B$1001,MATCH("divinity_zeus",'Divinity'!$A$2:$A$1001,0)),'Text'!$A$2:$A$1001,0))</x:f>
        <x:v>제우스</x:v>
      </x:c>
      <x:c r="C2" s="19" t="str">
        <x:f>INDEX('Text'!$C$2:$C$1001,MATCH(INDEX('WeaponFamily'!$B$2:$B$1001,MATCH(INDEX('Upgrade'!$C$2:$C$1001,MATCH(A2,'Upgrade'!$A$2:$A$1001,0)),'WeaponFamily'!$A$2:$A$1001,0)),'Text'!$A$2:$A$1001,0))</x:f>
        <x:v>창</x:v>
      </x:c>
      <x:c r="D2" s="19" t="str">
        <x:f>INDEX('Text'!$C$2:$C$1001,MATCH(INDEX('Weapon'!$B$2:$B$1001,MATCH(H2,'Weapon'!$A$2:$A$1001,0)),'Text'!$A$2:$A$1001,0))</x:f>
        <x:v>기본 창</x:v>
      </x:c>
      <x:c r="E2" s="19" t="str">
        <x:f>INDEX('Text'!$C$2:$C$1001,MATCH(INDEX('Upgrade'!$B$2:$B$1001,MATCH(G2,'Upgrade'!$A$2:$A$1001,0)),'Text'!$A$2:$A$1001,0))</x:f>
        <x:v>선고창</x:v>
      </x:c>
      <x:c r="F2" s="19" t="str">
        <x:f>INDEX('Text'!$C$2:$C$1001,MATCH(INDEX('Upgrade'!$B$2:$B$1001,MATCH(A2,'Upgrade'!$A$2:$A$1001,0)),'Text'!$A$2:$A$1001,0))</x:f>
        <x:v>천벌의 창</x:v>
      </x:c>
      <x:c r="G2" s="19" t="str">
        <x:f>INDEX('ProgressionEdge'!$C$2:$C$1001,MATCH(A2,'ProgressionEdge'!$D$2:$D$1001,0))</x:f>
        <x:v>upgrade_m2_sp_line</x:v>
      </x:c>
      <x:c r="H2" s="19" t="str">
        <x:f>INDEX('ProgressionEdge'!$C$2:$C$1001,MATCH(G2,'ProgressionEdge'!$D$2:$D$1001,0))</x:f>
        <x:v>weapon_spear</x:v>
      </x:c>
    </x:row>
    <x:row r="3" ht="30" customHeight="1">
      <x:c r="A3" s="19" t="str">
        <x:v>upgrade_m3_zeu_hm</x:v>
      </x:c>
      <x:c r="B3" s="19" t="str">
        <x:f>INDEX('Text'!$C$2:$C$1001,MATCH(INDEX('Divinity'!$B$2:$B$1001,MATCH("divinity_zeus",'Divinity'!$A$2:$A$1001,0)),'Text'!$A$2:$A$1001,0))</x:f>
        <x:v>제우스</x:v>
      </x:c>
      <x:c r="C3" s="19" t="str">
        <x:f>INDEX('Text'!$C$2:$C$1001,MATCH(INDEX('WeaponFamily'!$B$2:$B$1001,MATCH(INDEX('Upgrade'!$C$2:$C$1001,MATCH(A3,'Upgrade'!$A$2:$A$1001,0)),'WeaponFamily'!$A$2:$A$1001,0)),'Text'!$A$2:$A$1001,0))</x:f>
        <x:v>망치</x:v>
      </x:c>
      <x:c r="D3" s="19" t="str">
        <x:f>INDEX('Text'!$C$2:$C$1001,MATCH(INDEX('Weapon'!$B$2:$B$1001,MATCH(H3,'Weapon'!$A$2:$A$1001,0)),'Text'!$A$2:$A$1001,0))</x:f>
        <x:v>기본 망치</x:v>
      </x:c>
      <x:c r="E3" s="19" t="str">
        <x:f>INDEX('Text'!$C$2:$C$1001,MATCH(INDEX('Upgrade'!$B$2:$B$1001,MATCH(G3,'Upgrade'!$A$2:$A$1001,0)),'Text'!$A$2:$A$1001,0))</x:f>
        <x:v>축력추</x:v>
      </x:c>
      <x:c r="F3" s="19" t="str">
        <x:f>INDEX('Text'!$C$2:$C$1001,MATCH(INDEX('Upgrade'!$B$2:$B$1001,MATCH(A3,'Upgrade'!$A$2:$A$1001,0)),'Text'!$A$2:$A$1001,0))</x:f>
        <x:v>티탄 심판추</x:v>
      </x:c>
      <x:c r="G3" s="19" t="str">
        <x:f>INDEX('ProgressionEdge'!$C$2:$C$1001,MATCH(A3,'ProgressionEdge'!$D$2:$D$1001,0))</x:f>
        <x:v>upgrade_m2_hm_impact</x:v>
      </x:c>
      <x:c r="H3" s="19" t="str">
        <x:f>INDEX('ProgressionEdge'!$C$2:$C$1001,MATCH(G3,'ProgressionEdge'!$D$2:$D$1001,0))</x:f>
        <x:v>weapon_hammer</x:v>
      </x:c>
    </x:row>
    <x:row r="4" ht="30" customHeight="1">
      <x:c r="A4" s="19" t="str">
        <x:v>upgrade_m3_zeu_ss</x:v>
      </x:c>
      <x:c r="B4" s="19" t="str">
        <x:f>INDEX('Text'!$C$2:$C$1001,MATCH(INDEX('Divinity'!$B$2:$B$1001,MATCH("divinity_zeus",'Divinity'!$A$2:$A$1001,0)),'Text'!$A$2:$A$1001,0))</x:f>
        <x:v>제우스</x:v>
      </x:c>
      <x:c r="C4" s="19" t="str">
        <x:f>INDEX('Text'!$C$2:$C$1001,MATCH(INDEX('WeaponFamily'!$B$2:$B$1001,MATCH(INDEX('Upgrade'!$C$2:$C$1001,MATCH(A4,'Upgrade'!$A$2:$A$1001,0)),'WeaponFamily'!$A$2:$A$1001,0)),'Text'!$A$2:$A$1001,0))</x:f>
        <x:v>검과 방패</x:v>
      </x:c>
      <x:c r="D4" s="19" t="str">
        <x:f>INDEX('Text'!$C$2:$C$1001,MATCH(INDEX('Weapon'!$B$2:$B$1001,MATCH(H4,'Weapon'!$A$2:$A$1001,0)),'Text'!$A$2:$A$1001,0))</x:f>
        <x:v>기본 검과 방패</x:v>
      </x:c>
      <x:c r="E4" s="19" t="str">
        <x:f>INDEX('Text'!$C$2:$C$1001,MATCH(INDEX('Upgrade'!$B$2:$B$1001,MATCH(G4,'Upgrade'!$A$2:$A$1001,0)),'Text'!$A$2:$A$1001,0))</x:f>
        <x:v>반격검방</x:v>
      </x:c>
      <x:c r="F4" s="19" t="str">
        <x:f>INDEX('Text'!$C$2:$C$1001,MATCH(INDEX('Upgrade'!$B$2:$B$1001,MATCH(A4,'Upgrade'!$A$2:$A$1001,0)),'Text'!$A$2:$A$1001,0))</x:f>
        <x:v>폭풍왕의 검과 방패</x:v>
      </x:c>
      <x:c r="G4" s="19" t="str">
        <x:f>INDEX('ProgressionEdge'!$C$2:$C$1001,MATCH(A4,'ProgressionEdge'!$D$2:$D$1001,0))</x:f>
        <x:v>upgrade_m2_ss_counter</x:v>
      </x:c>
      <x:c r="H4" s="19" t="str">
        <x:f>INDEX('ProgressionEdge'!$C$2:$C$1001,MATCH(G4,'ProgressionEdge'!$D$2:$D$1001,0))</x:f>
        <x:v>weapon_sword_shield</x:v>
      </x:c>
    </x:row>
    <x:row r="5" ht="30" customHeight="1">
      <x:c r="A5" s="19" t="str">
        <x:v>upgrade_m3_tho_hm_r</x:v>
      </x:c>
      <x:c r="B5" s="19" t="str">
        <x:f>INDEX('Text'!$C$2:$C$1001,MATCH(INDEX('Divinity'!$B$2:$B$1001,MATCH("divinity_thor",'Divinity'!$A$2:$A$1001,0)),'Text'!$A$2:$A$1001,0))</x:f>
        <x:v>토르</x:v>
      </x:c>
      <x:c r="C5" s="19" t="str">
        <x:f>INDEX('Text'!$C$2:$C$1001,MATCH(INDEX('WeaponFamily'!$B$2:$B$1001,MATCH(INDEX('Upgrade'!$C$2:$C$1001,MATCH(A5,'Upgrade'!$A$2:$A$1001,0)),'WeaponFamily'!$A$2:$A$1001,0)),'Text'!$A$2:$A$1001,0))</x:f>
        <x:v>망치</x:v>
      </x:c>
      <x:c r="D5" s="19" t="str">
        <x:f>INDEX('Text'!$C$2:$C$1001,MATCH(INDEX('Weapon'!$B$2:$B$1001,MATCH(H5,'Weapon'!$A$2:$A$1001,0)),'Text'!$A$2:$A$1001,0))</x:f>
        <x:v>기본 망치</x:v>
      </x:c>
      <x:c r="E5" s="19" t="str">
        <x:f>INDEX('Text'!$C$2:$C$1001,MATCH(INDEX('Upgrade'!$B$2:$B$1001,MATCH(G5,'Upgrade'!$A$2:$A$1001,0)),'Text'!$A$2:$A$1001,0))</x:f>
        <x:v>귀환추</x:v>
      </x:c>
      <x:c r="F5" s="19" t="str">
        <x:f>INDEX('Text'!$C$2:$C$1001,MATCH(INDEX('Upgrade'!$B$2:$B$1001,MATCH(A5,'Upgrade'!$A$2:$A$1001,0)),'Text'!$A$2:$A$1001,0))</x:f>
        <x:v>묠니르</x:v>
      </x:c>
      <x:c r="G5" s="19" t="str">
        <x:f>INDEX('ProgressionEdge'!$C$2:$C$1001,MATCH(A5,'ProgressionEdge'!$D$2:$D$1001,0))</x:f>
        <x:v>upgrade_m2_hm_return</x:v>
      </x:c>
      <x:c r="H5" s="19" t="str">
        <x:f>INDEX('ProgressionEdge'!$C$2:$C$1001,MATCH(G5,'ProgressionEdge'!$D$2:$D$1001,0))</x:f>
        <x:v>weapon_hammer</x:v>
      </x:c>
    </x:row>
    <x:row r="6" ht="30" customHeight="1">
      <x:c r="A6" s="19" t="str">
        <x:v>upgrade_m3_tho_hm_i</x:v>
      </x:c>
      <x:c r="B6" s="19" t="str">
        <x:f>INDEX('Text'!$C$2:$C$1001,MATCH(INDEX('Divinity'!$B$2:$B$1001,MATCH("divinity_thor",'Divinity'!$A$2:$A$1001,0)),'Text'!$A$2:$A$1001,0))</x:f>
        <x:v>토르</x:v>
      </x:c>
      <x:c r="C6" s="19" t="str">
        <x:f>INDEX('Text'!$C$2:$C$1001,MATCH(INDEX('WeaponFamily'!$B$2:$B$1001,MATCH(INDEX('Upgrade'!$C$2:$C$1001,MATCH(A6,'Upgrade'!$A$2:$A$1001,0)),'WeaponFamily'!$A$2:$A$1001,0)),'Text'!$A$2:$A$1001,0))</x:f>
        <x:v>망치</x:v>
      </x:c>
      <x:c r="D6" s="19" t="str">
        <x:f>INDEX('Text'!$C$2:$C$1001,MATCH(INDEX('Weapon'!$B$2:$B$1001,MATCH(H6,'Weapon'!$A$2:$A$1001,0)),'Text'!$A$2:$A$1001,0))</x:f>
        <x:v>기본 망치</x:v>
      </x:c>
      <x:c r="E6" s="19" t="str">
        <x:f>INDEX('Text'!$C$2:$C$1001,MATCH(INDEX('Upgrade'!$B$2:$B$1001,MATCH(G6,'Upgrade'!$A$2:$A$1001,0)),'Text'!$A$2:$A$1001,0))</x:f>
        <x:v>축력추</x:v>
      </x:c>
      <x:c r="F6" s="19" t="str">
        <x:f>INDEX('Text'!$C$2:$C$1001,MATCH(INDEX('Upgrade'!$B$2:$B$1001,MATCH(A6,'Upgrade'!$A$2:$A$1001,0)),'Text'!$A$2:$A$1001,0))</x:f>
        <x:v>거인 분쇄추</x:v>
      </x:c>
      <x:c r="G6" s="19" t="str">
        <x:f>INDEX('ProgressionEdge'!$C$2:$C$1001,MATCH(A6,'ProgressionEdge'!$D$2:$D$1001,0))</x:f>
        <x:v>upgrade_m2_hm_impact</x:v>
      </x:c>
      <x:c r="H6" s="19" t="str">
        <x:f>INDEX('ProgressionEdge'!$C$2:$C$1001,MATCH(G6,'ProgressionEdge'!$D$2:$D$1001,0))</x:f>
        <x:v>weapon_hammer</x:v>
      </x:c>
    </x:row>
    <x:row r="7" ht="30" customHeight="1">
      <x:c r="A7" s="19" t="str">
        <x:v>upgrade_m3_apo_sp</x:v>
      </x:c>
      <x:c r="B7" s="19" t="str">
        <x:f>INDEX('Text'!$C$2:$C$1001,MATCH(INDEX('Divinity'!$B$2:$B$1001,MATCH("divinity_apollo",'Divinity'!$A$2:$A$1001,0)),'Text'!$A$2:$A$1001,0))</x:f>
        <x:v>아폴론</x:v>
      </x:c>
      <x:c r="C7" s="19" t="str">
        <x:f>INDEX('Text'!$C$2:$C$1001,MATCH(INDEX('WeaponFamily'!$B$2:$B$1001,MATCH(INDEX('Upgrade'!$C$2:$C$1001,MATCH(A7,'Upgrade'!$A$2:$A$1001,0)),'WeaponFamily'!$A$2:$A$1001,0)),'Text'!$A$2:$A$1001,0))</x:f>
        <x:v>창</x:v>
      </x:c>
      <x:c r="D7" s="19" t="str">
        <x:f>INDEX('Text'!$C$2:$C$1001,MATCH(INDEX('Weapon'!$B$2:$B$1001,MATCH(H7,'Weapon'!$A$2:$A$1001,0)),'Text'!$A$2:$A$1001,0))</x:f>
        <x:v>기본 창</x:v>
      </x:c>
      <x:c r="E7" s="19" t="str">
        <x:f>INDEX('Text'!$C$2:$C$1001,MATCH(INDEX('Upgrade'!$B$2:$B$1001,MATCH(G7,'Upgrade'!$A$2:$A$1001,0)),'Text'!$A$2:$A$1001,0))</x:f>
        <x:v>선고창</x:v>
      </x:c>
      <x:c r="F7" s="19" t="str">
        <x:f>INDEX('Text'!$C$2:$C$1001,MATCH(INDEX('Upgrade'!$B$2:$B$1001,MATCH(A7,'Upgrade'!$A$2:$A$1001,0)),'Text'!$A$2:$A$1001,0))</x:f>
        <x:v>델포이의 예언창</x:v>
      </x:c>
      <x:c r="G7" s="19" t="str">
        <x:f>INDEX('ProgressionEdge'!$C$2:$C$1001,MATCH(A7,'ProgressionEdge'!$D$2:$D$1001,0))</x:f>
        <x:v>upgrade_m2_sp_line</x:v>
      </x:c>
      <x:c r="H7" s="19" t="str">
        <x:f>INDEX('ProgressionEdge'!$C$2:$C$1001,MATCH(G7,'ProgressionEdge'!$D$2:$D$1001,0))</x:f>
        <x:v>weapon_spear</x:v>
      </x:c>
    </x:row>
    <x:row r="8" ht="30" customHeight="1">
      <x:c r="A8" s="19" t="str">
        <x:v>upgrade_m3_apo_bw</x:v>
      </x:c>
      <x:c r="B8" s="19" t="str">
        <x:f>INDEX('Text'!$C$2:$C$1001,MATCH(INDEX('Divinity'!$B$2:$B$1001,MATCH("divinity_apollo",'Divinity'!$A$2:$A$1001,0)),'Text'!$A$2:$A$1001,0))</x:f>
        <x:v>아폴론</x:v>
      </x:c>
      <x:c r="C8" s="19" t="str">
        <x:f>INDEX('Text'!$C$2:$C$1001,MATCH(INDEX('WeaponFamily'!$B$2:$B$1001,MATCH(INDEX('Upgrade'!$C$2:$C$1001,MATCH(A8,'Upgrade'!$A$2:$A$1001,0)),'WeaponFamily'!$A$2:$A$1001,0)),'Text'!$A$2:$A$1001,0))</x:f>
        <x:v>활</x:v>
      </x:c>
      <x:c r="D8" s="19" t="str">
        <x:f>INDEX('Text'!$C$2:$C$1001,MATCH(INDEX('Weapon'!$B$2:$B$1001,MATCH(H8,'Weapon'!$A$2:$A$1001,0)),'Text'!$A$2:$A$1001,0))</x:f>
        <x:v>기본 활</x:v>
      </x:c>
      <x:c r="E8" s="19" t="str">
        <x:f>INDEX('Text'!$C$2:$C$1001,MATCH(INDEX('Upgrade'!$B$2:$B$1001,MATCH(G8,'Upgrade'!$A$2:$A$1001,0)),'Text'!$A$2:$A$1001,0))</x:f>
        <x:v>조준궁</x:v>
      </x:c>
      <x:c r="F8" s="19" t="str">
        <x:f>INDEX('Text'!$C$2:$C$1001,MATCH(INDEX('Upgrade'!$B$2:$B$1001,MATCH(A8,'Upgrade'!$A$2:$A$1001,0)),'Text'!$A$2:$A$1001,0))</x:f>
        <x:v>퓌톤 살해자의 활</x:v>
      </x:c>
      <x:c r="G8" s="19" t="str">
        <x:f>INDEX('ProgressionEdge'!$C$2:$C$1001,MATCH(A8,'ProgressionEdge'!$D$2:$D$1001,0))</x:f>
        <x:v>upgrade_m2_bw_aim</x:v>
      </x:c>
      <x:c r="H8" s="19" t="str">
        <x:f>INDEX('ProgressionEdge'!$C$2:$C$1001,MATCH(G8,'ProgressionEdge'!$D$2:$D$1001,0))</x:f>
        <x:v>weapon_bow</x:v>
      </x:c>
    </x:row>
    <x:row r="9" ht="30" customHeight="1">
      <x:c r="A9" s="19" t="str">
        <x:v>upgrade_m3_apo_st</x:v>
      </x:c>
      <x:c r="B9" s="19" t="str">
        <x:f>INDEX('Text'!$C$2:$C$1001,MATCH(INDEX('Divinity'!$B$2:$B$1001,MATCH("divinity_apollo",'Divinity'!$A$2:$A$1001,0)),'Text'!$A$2:$A$1001,0))</x:f>
        <x:v>아폴론</x:v>
      </x:c>
      <x:c r="C9" s="19" t="str">
        <x:f>INDEX('Text'!$C$2:$C$1001,MATCH(INDEX('WeaponFamily'!$B$2:$B$1001,MATCH(INDEX('Upgrade'!$C$2:$C$1001,MATCH(A9,'Upgrade'!$A$2:$A$1001,0)),'WeaponFamily'!$A$2:$A$1001,0)),'Text'!$A$2:$A$1001,0))</x:f>
        <x:v>지팡이</x:v>
      </x:c>
      <x:c r="D9" s="19" t="str">
        <x:f>INDEX('Text'!$C$2:$C$1001,MATCH(INDEX('Weapon'!$B$2:$B$1001,MATCH(H9,'Weapon'!$A$2:$A$1001,0)),'Text'!$A$2:$A$1001,0))</x:f>
        <x:v>기본 지팡이</x:v>
      </x:c>
      <x:c r="E9" s="19" t="str">
        <x:f>INDEX('Text'!$C$2:$C$1001,MATCH(INDEX('Upgrade'!$B$2:$B$1001,MATCH(G9,'Upgrade'!$A$2:$A$1001,0)),'Text'!$A$2:$A$1001,0))</x:f>
        <x:v>응답봉</x:v>
      </x:c>
      <x:c r="F9" s="19" t="str">
        <x:f>INDEX('Text'!$C$2:$C$1001,MATCH(INDEX('Upgrade'!$B$2:$B$1001,MATCH(A9,'Upgrade'!$A$2:$A$1001,0)),'Text'!$A$2:$A$1001,0))</x:f>
        <x:v>칠현의 지팡이</x:v>
      </x:c>
      <x:c r="G9" s="19" t="str">
        <x:f>INDEX('ProgressionEdge'!$C$2:$C$1001,MATCH(A9,'ProgressionEdge'!$D$2:$D$1001,0))</x:f>
        <x:v>upgrade_m2_st_cadence</x:v>
      </x:c>
      <x:c r="H9" s="19" t="str">
        <x:f>INDEX('ProgressionEdge'!$C$2:$C$1001,MATCH(G9,'ProgressionEdge'!$D$2:$D$1001,0))</x:f>
        <x:v>weapon_staff</x:v>
      </x:c>
    </x:row>
    <x:row r="10" ht="30" customHeight="1">
      <x:c r="A10" s="19" t="str">
        <x:v>upgrade_m3_are_sp</x:v>
      </x:c>
      <x:c r="B10" s="19" t="str">
        <x:f>INDEX('Text'!$C$2:$C$1001,MATCH(INDEX('Divinity'!$B$2:$B$1001,MATCH("divinity_ares",'Divinity'!$A$2:$A$1001,0)),'Text'!$A$2:$A$1001,0))</x:f>
        <x:v>아레스</x:v>
      </x:c>
      <x:c r="C10" s="19" t="str">
        <x:f>INDEX('Text'!$C$2:$C$1001,MATCH(INDEX('WeaponFamily'!$B$2:$B$1001,MATCH(INDEX('Upgrade'!$C$2:$C$1001,MATCH(A10,'Upgrade'!$A$2:$A$1001,0)),'WeaponFamily'!$A$2:$A$1001,0)),'Text'!$A$2:$A$1001,0))</x:f>
        <x:v>창</x:v>
      </x:c>
      <x:c r="D10" s="19" t="str">
        <x:f>INDEX('Text'!$C$2:$C$1001,MATCH(INDEX('Weapon'!$B$2:$B$1001,MATCH(H10,'Weapon'!$A$2:$A$1001,0)),'Text'!$A$2:$A$1001,0))</x:f>
        <x:v>기본 창</x:v>
      </x:c>
      <x:c r="E10" s="19" t="str">
        <x:f>INDEX('Text'!$C$2:$C$1001,MATCH(INDEX('Upgrade'!$B$2:$B$1001,MATCH(G10,'Upgrade'!$A$2:$A$1001,0)),'Text'!$A$2:$A$1001,0))</x:f>
        <x:v>추렵창</x:v>
      </x:c>
      <x:c r="F10" s="19" t="str">
        <x:f>INDEX('Text'!$C$2:$C$1001,MATCH(INDEX('Upgrade'!$B$2:$B$1001,MATCH(A10,'Upgrade'!$A$2:$A$1001,0)),'Text'!$A$2:$A$1001,0))</x:f>
        <x:v>돌격대의 혈창</x:v>
      </x:c>
      <x:c r="G10" s="19" t="str">
        <x:f>INDEX('ProgressionEdge'!$C$2:$C$1001,MATCH(A10,'ProgressionEdge'!$D$2:$D$1001,0))</x:f>
        <x:v>upgrade_m2_sp_pursuit</x:v>
      </x:c>
      <x:c r="H10" s="19" t="str">
        <x:f>INDEX('ProgressionEdge'!$C$2:$C$1001,MATCH(G10,'ProgressionEdge'!$D$2:$D$1001,0))</x:f>
        <x:v>weapon_spear</x:v>
      </x:c>
    </x:row>
    <x:row r="11" ht="30" customHeight="1">
      <x:c r="A11" s="19" t="str">
        <x:v>upgrade_m3_are_gs</x:v>
      </x:c>
      <x:c r="B11" s="19" t="str">
        <x:f>INDEX('Text'!$C$2:$C$1001,MATCH(INDEX('Divinity'!$B$2:$B$1001,MATCH("divinity_ares",'Divinity'!$A$2:$A$1001,0)),'Text'!$A$2:$A$1001,0))</x:f>
        <x:v>아레스</x:v>
      </x:c>
      <x:c r="C11" s="19" t="str">
        <x:f>INDEX('Text'!$C$2:$C$1001,MATCH(INDEX('WeaponFamily'!$B$2:$B$1001,MATCH(INDEX('Upgrade'!$C$2:$C$1001,MATCH(A11,'Upgrade'!$A$2:$A$1001,0)),'WeaponFamily'!$A$2:$A$1001,0)),'Text'!$A$2:$A$1001,0))</x:f>
        <x:v>대검</x:v>
      </x:c>
      <x:c r="D11" s="19" t="str">
        <x:f>INDEX('Text'!$C$2:$C$1001,MATCH(INDEX('Weapon'!$B$2:$B$1001,MATCH(H11,'Weapon'!$A$2:$A$1001,0)),'Text'!$A$2:$A$1001,0))</x:f>
        <x:v>기본 대검</x:v>
      </x:c>
      <x:c r="E11" s="19" t="str">
        <x:f>INDEX('Text'!$C$2:$C$1001,MATCH(INDEX('Upgrade'!$B$2:$B$1001,MATCH(G11,'Upgrade'!$A$2:$A$1001,0)),'Text'!$A$2:$A$1001,0))</x:f>
        <x:v>봉인대검</x:v>
      </x:c>
      <x:c r="F11" s="19" t="str">
        <x:f>INDEX('Text'!$C$2:$C$1001,MATCH(INDEX('Upgrade'!$B$2:$B$1001,MATCH(A11,'Upgrade'!$A$2:$A$1001,0)),'Text'!$A$2:$A$1001,0))</x:f>
        <x:v>포보스의 대검</x:v>
      </x:c>
      <x:c r="G11" s="19" t="str">
        <x:f>INDEX('ProgressionEdge'!$C$2:$C$1001,MATCH(A11,'ProgressionEdge'!$D$2:$D$1001,0))</x:f>
        <x:v>upgrade_m2_gs_seal</x:v>
      </x:c>
      <x:c r="H11" s="19" t="str">
        <x:f>INDEX('ProgressionEdge'!$C$2:$C$1001,MATCH(G11,'ProgressionEdge'!$D$2:$D$1001,0))</x:f>
        <x:v>weapon_greatsword</x:v>
      </x:c>
    </x:row>
    <x:row r="12" ht="30" customHeight="1">
      <x:c r="A12" s="19" t="str">
        <x:v>upgrade_m3_are_ss</x:v>
      </x:c>
      <x:c r="B12" s="19" t="str">
        <x:f>INDEX('Text'!$C$2:$C$1001,MATCH(INDEX('Divinity'!$B$2:$B$1001,MATCH("divinity_ares",'Divinity'!$A$2:$A$1001,0)),'Text'!$A$2:$A$1001,0))</x:f>
        <x:v>아레스</x:v>
      </x:c>
      <x:c r="C12" s="19" t="str">
        <x:f>INDEX('Text'!$C$2:$C$1001,MATCH(INDEX('WeaponFamily'!$B$2:$B$1001,MATCH(INDEX('Upgrade'!$C$2:$C$1001,MATCH(A12,'Upgrade'!$A$2:$A$1001,0)),'WeaponFamily'!$A$2:$A$1001,0)),'Text'!$A$2:$A$1001,0))</x:f>
        <x:v>검과 방패</x:v>
      </x:c>
      <x:c r="D12" s="19" t="str">
        <x:f>INDEX('Text'!$C$2:$C$1001,MATCH(INDEX('Weapon'!$B$2:$B$1001,MATCH(H12,'Weapon'!$A$2:$A$1001,0)),'Text'!$A$2:$A$1001,0))</x:f>
        <x:v>기본 검과 방패</x:v>
      </x:c>
      <x:c r="E12" s="19" t="str">
        <x:f>INDEX('Text'!$C$2:$C$1001,MATCH(INDEX('Upgrade'!$B$2:$B$1001,MATCH(G12,'Upgrade'!$A$2:$A$1001,0)),'Text'!$A$2:$A$1001,0))</x:f>
        <x:v>반격검방</x:v>
      </x:c>
      <x:c r="F12" s="19" t="str">
        <x:f>INDEX('Text'!$C$2:$C$1001,MATCH(INDEX('Upgrade'!$B$2:$B$1001,MATCH(A12,'Upgrade'!$A$2:$A$1001,0)),'Text'!$A$2:$A$1001,0))</x:f>
        <x:v>데이모스의 검과 방패</x:v>
      </x:c>
      <x:c r="G12" s="19" t="str">
        <x:f>INDEX('ProgressionEdge'!$C$2:$C$1001,MATCH(A12,'ProgressionEdge'!$D$2:$D$1001,0))</x:f>
        <x:v>upgrade_m2_ss_counter</x:v>
      </x:c>
      <x:c r="H12" s="19" t="str">
        <x:f>INDEX('ProgressionEdge'!$C$2:$C$1001,MATCH(G12,'ProgressionEdge'!$D$2:$D$1001,0))</x:f>
        <x:v>weapon_sword_shield</x:v>
      </x:c>
    </x:row>
    <x:row r="13" ht="30" customHeight="1">
      <x:c r="A13" s="19" t="str">
        <x:v>upgrade_m3_had_gs</x:v>
      </x:c>
      <x:c r="B13" s="19" t="str">
        <x:f>INDEX('Text'!$C$2:$C$1001,MATCH(INDEX('Divinity'!$B$2:$B$1001,MATCH("divinity_hades",'Divinity'!$A$2:$A$1001,0)),'Text'!$A$2:$A$1001,0))</x:f>
        <x:v>하데스</x:v>
      </x:c>
      <x:c r="C13" s="19" t="str">
        <x:f>INDEX('Text'!$C$2:$C$1001,MATCH(INDEX('WeaponFamily'!$B$2:$B$1001,MATCH(INDEX('Upgrade'!$C$2:$C$1001,MATCH(A13,'Upgrade'!$A$2:$A$1001,0)),'WeaponFamily'!$A$2:$A$1001,0)),'Text'!$A$2:$A$1001,0))</x:f>
        <x:v>대검</x:v>
      </x:c>
      <x:c r="D13" s="19" t="str">
        <x:f>INDEX('Text'!$C$2:$C$1001,MATCH(INDEX('Weapon'!$B$2:$B$1001,MATCH(H13,'Weapon'!$A$2:$A$1001,0)),'Text'!$A$2:$A$1001,0))</x:f>
        <x:v>기본 대검</x:v>
      </x:c>
      <x:c r="E13" s="19" t="str">
        <x:f>INDEX('Text'!$C$2:$C$1001,MATCH(INDEX('Upgrade'!$B$2:$B$1001,MATCH(G13,'Upgrade'!$A$2:$A$1001,0)),'Text'!$A$2:$A$1001,0))</x:f>
        <x:v>봉인대검</x:v>
      </x:c>
      <x:c r="F13" s="19" t="str">
        <x:f>INDEX('Text'!$C$2:$C$1001,MATCH(INDEX('Upgrade'!$B$2:$B$1001,MATCH(A13,'Upgrade'!$A$2:$A$1001,0)),'Text'!$A$2:$A$1001,0))</x:f>
        <x:v>저승문지기의 대검</x:v>
      </x:c>
      <x:c r="G13" s="19" t="str">
        <x:f>INDEX('ProgressionEdge'!$C$2:$C$1001,MATCH(A13,'ProgressionEdge'!$D$2:$D$1001,0))</x:f>
        <x:v>upgrade_m2_gs_seal</x:v>
      </x:c>
      <x:c r="H13" s="19" t="str">
        <x:f>INDEX('ProgressionEdge'!$C$2:$C$1001,MATCH(G13,'ProgressionEdge'!$D$2:$D$1001,0))</x:f>
        <x:v>weapon_greatsword</x:v>
      </x:c>
    </x:row>
    <x:row r="14" ht="30" customHeight="1">
      <x:c r="A14" s="19" t="str">
        <x:v>upgrade_m3_had_dg</x:v>
      </x:c>
      <x:c r="B14" s="19" t="str">
        <x:f>INDEX('Text'!$C$2:$C$1001,MATCH(INDEX('Divinity'!$B$2:$B$1001,MATCH("divinity_hades",'Divinity'!$A$2:$A$1001,0)),'Text'!$A$2:$A$1001,0))</x:f>
        <x:v>하데스</x:v>
      </x:c>
      <x:c r="C14" s="19" t="str">
        <x:f>INDEX('Text'!$C$2:$C$1001,MATCH(INDEX('WeaponFamily'!$B$2:$B$1001,MATCH(INDEX('Upgrade'!$C$2:$C$1001,MATCH(A14,'Upgrade'!$A$2:$A$1001,0)),'WeaponFamily'!$A$2:$A$1001,0)),'Text'!$A$2:$A$1001,0))</x:f>
        <x:v>단검</x:v>
      </x:c>
      <x:c r="D14" s="19" t="str">
        <x:f>INDEX('Text'!$C$2:$C$1001,MATCH(INDEX('Weapon'!$B$2:$B$1001,MATCH(H14,'Weapon'!$A$2:$A$1001,0)),'Text'!$A$2:$A$1001,0))</x:f>
        <x:v>기본 단검</x:v>
      </x:c>
      <x:c r="E14" s="19" t="str">
        <x:f>INDEX('Text'!$C$2:$C$1001,MATCH(INDEX('Upgrade'!$B$2:$B$1001,MATCH(G14,'Upgrade'!$A$2:$A$1001,0)),'Text'!$A$2:$A$1001,0))</x:f>
        <x:v>잠행단검</x:v>
      </x:c>
      <x:c r="F14" s="19" t="str">
        <x:f>INDEX('Text'!$C$2:$C$1001,MATCH(INDEX('Upgrade'!$B$2:$B$1001,MATCH(A14,'Upgrade'!$A$2:$A$1001,0)),'Text'!$A$2:$A$1001,0))</x:f>
        <x:v>보이지 않는 왕의 단검</x:v>
      </x:c>
      <x:c r="G14" s="19" t="str">
        <x:f>INDEX('ProgressionEdge'!$C$2:$C$1001,MATCH(A14,'ProgressionEdge'!$D$2:$D$1001,0))</x:f>
        <x:v>upgrade_m2_dg_stalk</x:v>
      </x:c>
      <x:c r="H14" s="19" t="str">
        <x:f>INDEX('ProgressionEdge'!$C$2:$C$1001,MATCH(G14,'ProgressionEdge'!$D$2:$D$1001,0))</x:f>
        <x:v>weapon_dagger</x:v>
      </x:c>
    </x:row>
    <x:row r="15" ht="30" customHeight="1">
      <x:c r="A15" s="19" t="str">
        <x:v>upgrade_m3_art_sp</x:v>
      </x:c>
      <x:c r="B15" s="19" t="str">
        <x:f>INDEX('Text'!$C$2:$C$1001,MATCH(INDEX('Divinity'!$B$2:$B$1001,MATCH("divinity_artemis",'Divinity'!$A$2:$A$1001,0)),'Text'!$A$2:$A$1001,0))</x:f>
        <x:v>아르테미스</x:v>
      </x:c>
      <x:c r="C15" s="19" t="str">
        <x:f>INDEX('Text'!$C$2:$C$1001,MATCH(INDEX('WeaponFamily'!$B$2:$B$1001,MATCH(INDEX('Upgrade'!$C$2:$C$1001,MATCH(A15,'Upgrade'!$A$2:$A$1001,0)),'WeaponFamily'!$A$2:$A$1001,0)),'Text'!$A$2:$A$1001,0))</x:f>
        <x:v>창</x:v>
      </x:c>
      <x:c r="D15" s="19" t="str">
        <x:f>INDEX('Text'!$C$2:$C$1001,MATCH(INDEX('Weapon'!$B$2:$B$1001,MATCH(H15,'Weapon'!$A$2:$A$1001,0)),'Text'!$A$2:$A$1001,0))</x:f>
        <x:v>기본 창</x:v>
      </x:c>
      <x:c r="E15" s="19" t="str">
        <x:f>INDEX('Text'!$C$2:$C$1001,MATCH(INDEX('Upgrade'!$B$2:$B$1001,MATCH(G15,'Upgrade'!$A$2:$A$1001,0)),'Text'!$A$2:$A$1001,0))</x:f>
        <x:v>추렵창</x:v>
      </x:c>
      <x:c r="F15" s="19" t="str">
        <x:f>INDEX('Text'!$C$2:$C$1001,MATCH(INDEX('Upgrade'!$B$2:$B$1001,MATCH(A15,'Upgrade'!$A$2:$A$1001,0)),'Text'!$A$2:$A$1001,0))</x:f>
        <x:v>숲길 추렵창</x:v>
      </x:c>
      <x:c r="G15" s="19" t="str">
        <x:f>INDEX('ProgressionEdge'!$C$2:$C$1001,MATCH(A15,'ProgressionEdge'!$D$2:$D$1001,0))</x:f>
        <x:v>upgrade_m2_sp_pursuit</x:v>
      </x:c>
      <x:c r="H15" s="19" t="str">
        <x:f>INDEX('ProgressionEdge'!$C$2:$C$1001,MATCH(G15,'ProgressionEdge'!$D$2:$D$1001,0))</x:f>
        <x:v>weapon_spear</x:v>
      </x:c>
    </x:row>
    <x:row r="16" ht="30" customHeight="1">
      <x:c r="A16" s="19" t="str">
        <x:v>upgrade_m3_art_dg</x:v>
      </x:c>
      <x:c r="B16" s="19" t="str">
        <x:f>INDEX('Text'!$C$2:$C$1001,MATCH(INDEX('Divinity'!$B$2:$B$1001,MATCH("divinity_artemis",'Divinity'!$A$2:$A$1001,0)),'Text'!$A$2:$A$1001,0))</x:f>
        <x:v>아르테미스</x:v>
      </x:c>
      <x:c r="C16" s="19" t="str">
        <x:f>INDEX('Text'!$C$2:$C$1001,MATCH(INDEX('WeaponFamily'!$B$2:$B$1001,MATCH(INDEX('Upgrade'!$C$2:$C$1001,MATCH(A16,'Upgrade'!$A$2:$A$1001,0)),'WeaponFamily'!$A$2:$A$1001,0)),'Text'!$A$2:$A$1001,0))</x:f>
        <x:v>단검</x:v>
      </x:c>
      <x:c r="D16" s="19" t="str">
        <x:f>INDEX('Text'!$C$2:$C$1001,MATCH(INDEX('Weapon'!$B$2:$B$1001,MATCH(H16,'Weapon'!$A$2:$A$1001,0)),'Text'!$A$2:$A$1001,0))</x:f>
        <x:v>기본 단검</x:v>
      </x:c>
      <x:c r="E16" s="19" t="str">
        <x:f>INDEX('Text'!$C$2:$C$1001,MATCH(INDEX('Upgrade'!$B$2:$B$1001,MATCH(G16,'Upgrade'!$A$2:$A$1001,0)),'Text'!$A$2:$A$1001,0))</x:f>
        <x:v>잠행단검</x:v>
      </x:c>
      <x:c r="F16" s="19" t="str">
        <x:f>INDEX('Text'!$C$2:$C$1001,MATCH(INDEX('Upgrade'!$B$2:$B$1001,MATCH(A16,'Upgrade'!$A$2:$A$1001,0)),'Text'!$A$2:$A$1001,0))</x:f>
        <x:v>사냥꾼의 쌍송곳니</x:v>
      </x:c>
      <x:c r="G16" s="19" t="str">
        <x:f>INDEX('ProgressionEdge'!$C$2:$C$1001,MATCH(A16,'ProgressionEdge'!$D$2:$D$1001,0))</x:f>
        <x:v>upgrade_m2_dg_stalk</x:v>
      </x:c>
      <x:c r="H16" s="19" t="str">
        <x:f>INDEX('ProgressionEdge'!$C$2:$C$1001,MATCH(G16,'ProgressionEdge'!$D$2:$D$1001,0))</x:f>
        <x:v>weapon_dagger</x:v>
      </x:c>
    </x:row>
    <x:row r="17" ht="30" customHeight="1">
      <x:c r="A17" s="19" t="str">
        <x:v>upgrade_m3_art_bw</x:v>
      </x:c>
      <x:c r="B17" s="19" t="str">
        <x:f>INDEX('Text'!$C$2:$C$1001,MATCH(INDEX('Divinity'!$B$2:$B$1001,MATCH("divinity_artemis",'Divinity'!$A$2:$A$1001,0)),'Text'!$A$2:$A$1001,0))</x:f>
        <x:v>아르테미스</x:v>
      </x:c>
      <x:c r="C17" s="19" t="str">
        <x:f>INDEX('Text'!$C$2:$C$1001,MATCH(INDEX('WeaponFamily'!$B$2:$B$1001,MATCH(INDEX('Upgrade'!$C$2:$C$1001,MATCH(A17,'Upgrade'!$A$2:$A$1001,0)),'WeaponFamily'!$A$2:$A$1001,0)),'Text'!$A$2:$A$1001,0))</x:f>
        <x:v>활</x:v>
      </x:c>
      <x:c r="D17" s="19" t="str">
        <x:f>INDEX('Text'!$C$2:$C$1001,MATCH(INDEX('Weapon'!$B$2:$B$1001,MATCH(H17,'Weapon'!$A$2:$A$1001,0)),'Text'!$A$2:$A$1001,0))</x:f>
        <x:v>기본 활</x:v>
      </x:c>
      <x:c r="E17" s="19" t="str">
        <x:f>INDEX('Text'!$C$2:$C$1001,MATCH(INDEX('Upgrade'!$B$2:$B$1001,MATCH(G17,'Upgrade'!$A$2:$A$1001,0)),'Text'!$A$2:$A$1001,0))</x:f>
        <x:v>조준궁</x:v>
      </x:c>
      <x:c r="F17" s="19" t="str">
        <x:f>INDEX('Text'!$C$2:$C$1001,MATCH(INDEX('Upgrade'!$B$2:$B$1001,MATCH(A17,'Upgrade'!$A$2:$A$1001,0)),'Text'!$A$2:$A$1001,0))</x:f>
        <x:v>사냥개의 활</x:v>
      </x:c>
      <x:c r="G17" s="19" t="str">
        <x:f>INDEX('ProgressionEdge'!$C$2:$C$1001,MATCH(A17,'ProgressionEdge'!$D$2:$D$1001,0))</x:f>
        <x:v>upgrade_m2_bw_aim</x:v>
      </x:c>
      <x:c r="H17" s="19" t="str">
        <x:f>INDEX('ProgressionEdge'!$C$2:$C$1001,MATCH(G17,'ProgressionEdge'!$D$2:$D$1001,0))</x:f>
        <x:v>weapon_bow</x:v>
      </x:c>
    </x:row>
    <x:row r="18" ht="30" customHeight="1">
      <x:c r="A18" s="19" t="str">
        <x:v>upgrade_m3_ska_bw</x:v>
      </x:c>
      <x:c r="B18" s="19" t="str">
        <x:f>INDEX('Text'!$C$2:$C$1001,MATCH(INDEX('Divinity'!$B$2:$B$1001,MATCH("divinity_skadi",'Divinity'!$A$2:$A$1001,0)),'Text'!$A$2:$A$1001,0))</x:f>
        <x:v>스카디</x:v>
      </x:c>
      <x:c r="C18" s="19" t="str">
        <x:f>INDEX('Text'!$C$2:$C$1001,MATCH(INDEX('WeaponFamily'!$B$2:$B$1001,MATCH(INDEX('Upgrade'!$C$2:$C$1001,MATCH(A18,'Upgrade'!$A$2:$A$1001,0)),'WeaponFamily'!$A$2:$A$1001,0)),'Text'!$A$2:$A$1001,0))</x:f>
        <x:v>활</x:v>
      </x:c>
      <x:c r="D18" s="19" t="str">
        <x:f>INDEX('Text'!$C$2:$C$1001,MATCH(INDEX('Weapon'!$B$2:$B$1001,MATCH(H18,'Weapon'!$A$2:$A$1001,0)),'Text'!$A$2:$A$1001,0))</x:f>
        <x:v>기본 활</x:v>
      </x:c>
      <x:c r="E18" s="19" t="str">
        <x:f>INDEX('Text'!$C$2:$C$1001,MATCH(INDEX('Upgrade'!$B$2:$B$1001,MATCH(G18,'Upgrade'!$A$2:$A$1001,0)),'Text'!$A$2:$A$1001,0))</x:f>
        <x:v>이동사냥궁</x:v>
      </x:c>
      <x:c r="F18" s="19" t="str">
        <x:f>INDEX('Text'!$C$2:$C$1001,MATCH(INDEX('Upgrade'!$B$2:$B$1001,MATCH(A18,'Upgrade'!$A$2:$A$1001,0)),'Text'!$A$2:$A$1001,0))</x:f>
        <x:v>설산 추적궁</x:v>
      </x:c>
      <x:c r="G18" s="19" t="str">
        <x:f>INDEX('ProgressionEdge'!$C$2:$C$1001,MATCH(A18,'ProgressionEdge'!$D$2:$D$1001,0))</x:f>
        <x:v>upgrade_m2_bw_move</x:v>
      </x:c>
      <x:c r="H18" s="19" t="str">
        <x:f>INDEX('ProgressionEdge'!$C$2:$C$1001,MATCH(G18,'ProgressionEdge'!$D$2:$D$1001,0))</x:f>
        <x:v>weapon_bow</x:v>
      </x:c>
    </x:row>
    <x:row r="19" ht="30" customHeight="1">
      <x:c r="A19" s="19" t="str">
        <x:v>upgrade_m3_ska_st</x:v>
      </x:c>
      <x:c r="B19" s="19" t="str">
        <x:f>INDEX('Text'!$C$2:$C$1001,MATCH(INDEX('Divinity'!$B$2:$B$1001,MATCH("divinity_skadi",'Divinity'!$A$2:$A$1001,0)),'Text'!$A$2:$A$1001,0))</x:f>
        <x:v>스카디</x:v>
      </x:c>
      <x:c r="C19" s="19" t="str">
        <x:f>INDEX('Text'!$C$2:$C$1001,MATCH(INDEX('WeaponFamily'!$B$2:$B$1001,MATCH(INDEX('Upgrade'!$C$2:$C$1001,MATCH(A19,'Upgrade'!$A$2:$A$1001,0)),'WeaponFamily'!$A$2:$A$1001,0)),'Text'!$A$2:$A$1001,0))</x:f>
        <x:v>지팡이</x:v>
      </x:c>
      <x:c r="D19" s="19" t="str">
        <x:f>INDEX('Text'!$C$2:$C$1001,MATCH(INDEX('Weapon'!$B$2:$B$1001,MATCH(H19,'Weapon'!$A$2:$A$1001,0)),'Text'!$A$2:$A$1001,0))</x:f>
        <x:v>기본 지팡이</x:v>
      </x:c>
      <x:c r="E19" s="19" t="str">
        <x:f>INDEX('Text'!$C$2:$C$1001,MATCH(INDEX('Upgrade'!$B$2:$B$1001,MATCH(G19,'Upgrade'!$A$2:$A$1001,0)),'Text'!$A$2:$A$1001,0))</x:f>
        <x:v>응답봉</x:v>
      </x:c>
      <x:c r="F19" s="19" t="str">
        <x:f>INDEX('Text'!$C$2:$C$1001,MATCH(INDEX('Upgrade'!$B$2:$B$1001,MATCH(A19,'Upgrade'!$A$2:$A$1001,0)),'Text'!$A$2:$A$1001,0))</x:f>
        <x:v>산바람의 지팡이</x:v>
      </x:c>
      <x:c r="G19" s="19" t="str">
        <x:f>INDEX('ProgressionEdge'!$C$2:$C$1001,MATCH(A19,'ProgressionEdge'!$D$2:$D$1001,0))</x:f>
        <x:v>upgrade_m2_st_cadence</x:v>
      </x:c>
      <x:c r="H19" s="19" t="str">
        <x:f>INDEX('ProgressionEdge'!$C$2:$C$1001,MATCH(G19,'ProgressionEdge'!$D$2:$D$1001,0))</x:f>
        <x:v>weapon_staff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2" max="2" width="35" hidden="0" customWidth="1"/>
    <x:col min="3" max="3" width="35" hidden="0" customWidth="1"/>
    <x:col min="4" max="4" width="35" hidden="0" customWidth="1"/>
  </x:cols>
  <x:sheetData>
    <x:row r="2">
      <x:c r="B2" t="str">
        <x:v>데이터 테이블</x:v>
      </x:c>
    </x:row>
    <x:row r="4" ht="72" customHeight="1">
      <x:c r="B4" s="17" t="str">
        <x:v>ID와 연결 행으로 확장합니다. 표의 마지막 행에서 추가하세요.</x:v>
      </x:c>
      <x:c r="C4" s="17"/>
      <x:c r="D4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4" hidden="0" customWidth="1"/>
  </x:cols>
  <x:sheetData>
    <x:row r="1" ht="44" customHeight="1">
      <x:c r="A1" s="6" t="str">
        <x:v>culture_id</x:v>
      </x:c>
      <x:c r="B1" s="6" t="str">
        <x:v>name_ko</x:v>
      </x:c>
    </x:row>
    <x:row r="2" ht="28" customHeight="1">
      <x:c r="A2" s="7" t="str">
        <x:v>culture_greek</x:v>
      </x:c>
      <x:c r="B2" s="7" t="str">
        <x:v>그리스 신화</x:v>
      </x:c>
    </x:row>
    <x:row r="3" ht="28" customHeight="1">
      <x:c r="A3" s="7" t="str">
        <x:v>culture_norse</x:v>
      </x:c>
      <x:c r="B3" s="7" t="str">
        <x:v>북유럽 신화</x:v>
      </x:c>
    </x:row>
  </x:sheetData>
  <x:pageMargins left="0.7" right="0.7" top="0.75" bottom="0.75" header="0.3" footer="0.3"/>
  <x:tableParts count="1">
    <x:tablePart xmlns:r="http://schemas.openxmlformats.org/officeDocument/2006/relationships" r:id="Re6b865f2faf54d5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58" hidden="0" customWidth="1"/>
    <x:col min="5" max="5" width="58" hidden="0" customWidth="1"/>
    <x:col min="6" max="6" width="58" hidden="0" customWidth="1"/>
    <x:col min="7" max="7" width="34" hidden="0" customWidth="1"/>
    <x:col min="8" max="8" width="24" hidden="0" customWidth="1"/>
    <x:col min="9" max="9" width="24" hidden="0" customWidth="1"/>
  </x:cols>
  <x:sheetData>
    <x:row r="1" ht="44" customHeight="1">
      <x:c r="A1" s="6" t="str">
        <x:v>divinity_id</x:v>
      </x:c>
      <x:c r="B1" s="6" t="str">
        <x:v>name_key</x:v>
      </x:c>
      <x:c r="C1" s="6" t="str">
        <x:v>culture_id</x:v>
      </x:c>
      <x:c r="D1" s="6" t="str">
        <x:v>theme</x:v>
      </x:c>
      <x:c r="E1" s="6" t="str">
        <x:v>myth_basis</x:v>
      </x:c>
      <x:c r="F1" s="6" t="str">
        <x:v>adaptation</x:v>
      </x:c>
      <x:c r="G1" s="6" t="str">
        <x:v>source_url</x:v>
      </x:c>
      <x:c r="H1" s="6" t="str">
        <x:v>condition_status</x:v>
      </x:c>
      <x:c r="I1" s="5" t="str">
        <x:v>enabled</x:v>
      </x:c>
    </x:row>
    <x:row r="2" ht="78" customHeight="1">
      <x:c r="A2" s="7" t="str">
        <x:v>divinity_zeus</x:v>
      </x:c>
      <x:c r="B2" s="7" t="str">
        <x:v>name_divinity_zeus</x:v>
      </x:c>
      <x:c r="C2" s="7" t="str">
        <x:v>culture_greek</x:v>
      </x:c>
      <x:c r="D2" s="11" t="str">
        <x:v>선고와 집행: 유효 타격으로 표식 → 정해진 마무리 공격 → 표적 낙뢰</x:v>
      </x:c>
      <x:c r="E2" s="11" t="str">
        <x:v>하늘·벼락·왕권, 키클롭스에게 받은 벼락으로 티탄과 싸움</x:v>
      </x:c>
      <x:c r="F2" s="11" t="str">
        <x:v>벼락과 통치의 모티프를 표식형 심판으로 각색</x:v>
      </x:c>
      <x:c r="G2" s="7" t="str">
        <x:v>https://www.theoi.com/Olympios/Zeus.html</x:v>
      </x:c>
      <x:c r="H2" s="7" t="str">
        <x:v>pending</x:v>
      </x:c>
      <x:c r="I2" s="10" t="b">
        <x:v>0</x:v>
      </x:c>
    </x:row>
    <x:row r="3" ht="78" customHeight="1">
      <x:c r="A3" s="7" t="str">
        <x:v>divinity_thor</x:v>
      </x:c>
      <x:c r="B3" s="7" t="str">
        <x:v>name_divinity_thor</x:v>
      </x:c>
      <x:c r="C3" s="7" t="str">
        <x:v>culture_norse</x:v>
      </x:c>
      <x:c r="D3" s="11" t="str">
        <x:v>무게와 귀환: 공격을 확실히 맞힘 → 무거운 강타 또는 투척 → 회수·후속 타격</x:v>
      </x:c>
      <x:c r="E3" s="11" t="str">
        <x:v>묠니르의 강타·투척 후 귀환, 거인들과의 싸움</x:v>
      </x:c>
      <x:c r="F3" s="11" t="str">
        <x:v>귀환은 전승 모티프, 충전·재사용·피해 판정은 게임 규칙</x:v>
      </x:c>
      <x:c r="G3" s="7" t="str">
        <x:v>https://sacred-texts.com/book/the-prose-edda/skaldskaparmal</x:v>
      </x:c>
      <x:c r="H3" s="7" t="str">
        <x:v>pending</x:v>
      </x:c>
      <x:c r="I3" s="10" t="b">
        <x:v>0</x:v>
      </x:c>
    </x:row>
    <x:row r="4" ht="78" customHeight="1">
      <x:c r="A4" s="7" t="str">
        <x:v>divinity_apollo</x:v>
      </x:c>
      <x:c r="B4" s="7" t="str">
        <x:v>name_divinity_apollo</x:v>
      </x:c>
      <x:c r="C4" s="7" t="str">
        <x:v>culture_greek</x:v>
      </x:c>
      <x:c r="D4" s="11" t="str">
        <x:v>예고와 정확한 응답: 조준/타격으로 다음 기회 표시 → 정밀 적중 또는 박자 준수 → 보상</x:v>
      </x:c>
      <x:c r="E4" s="11" t="str">
        <x:v>궁술·예언·음악, 델포이의 퓌톤 처치</x:v>
      </x:c>
      <x:c r="F4" s="11" t="str">
        <x:v>미래를 실제 계산하는 능력이 아닌 읽을 수 있는 공격 기회로 각색</x:v>
      </x:c>
      <x:c r="G4" s="7" t="str">
        <x:v>https://www.theoi.com/Olympios/Apollon.html</x:v>
      </x:c>
      <x:c r="H4" s="7" t="str">
        <x:v>pending</x:v>
      </x:c>
      <x:c r="I4" s="10" t="b">
        <x:v>0</x:v>
      </x:c>
    </x:row>
    <x:row r="5" ht="78" customHeight="1">
      <x:c r="A5" s="7" t="str">
        <x:v>divinity_ares</x:v>
      </x:c>
      <x:c r="B5" s="7" t="str">
        <x:v>name_divinity_ares</x:v>
      </x:c>
      <x:c r="C5" s="7" t="str">
        <x:v>culture_greek</x:v>
      </x:c>
      <x:c r="D5" s="11" t="str">
        <x:v>압박과 붕괴: 직접 공격으로 상처 → 접근 유지 → 결산·공포</x:v>
      </x:c>
      <x:c r="E5" s="11" t="str">
        <x:v>격렬한 전쟁, 포보스·데이모스의 동행</x:v>
      </x:c>
      <x:c r="F5" s="11" t="str">
        <x:v>상처 스택과 공포 반경은 창작; 보스 면역 유지</x:v>
      </x:c>
      <x:c r="G5" s="7" t="str">
        <x:v>https://www.theoi.com/Olympios/AresAttendants.html</x:v>
      </x:c>
      <x:c r="H5" s="7" t="str">
        <x:v>pending</x:v>
      </x:c>
      <x:c r="I5" s="10" t="b">
        <x:v>0</x:v>
      </x:c>
    </x:row>
    <x:row r="6" ht="78" customHeight="1">
      <x:c r="A6" s="7" t="str">
        <x:v>divinity_hades</x:v>
      </x:c>
      <x:c r="B6" s="7" t="str">
        <x:v>name_divinity_hades</x:v>
      </x:c>
      <x:c r="C6" s="7" t="str">
        <x:v>culture_greek</x:v>
      </x:c>
      <x:c r="D6" s="11" t="str">
        <x:v>경계와 재등장: 낙인 → 거리를 벌리거나 은폐 → 다시 닿아 회수</x:v>
      </x:c>
      <x:c r="E6" s="11" t="str">
        <x:v>지하세계의 지배, 보이지 않게 하는 투구</x:v>
      </x:c>
      <x:c r="F6" s="11" t="str">
        <x:v>투구를 단검의 공명으로 번안; 영혼 수급을 무조건 처치 의존으로 두지 않음</x:v>
      </x:c>
      <x:c r="G6" s="7" t="str">
        <x:v>https://www.theoi.com/Khthonios/Haides.html</x:v>
      </x:c>
      <x:c r="H6" s="7" t="str">
        <x:v>pending</x:v>
      </x:c>
      <x:c r="I6" s="10" t="b">
        <x:v>0</x:v>
      </x:c>
    </x:row>
    <x:row r="7" ht="78" customHeight="1">
      <x:c r="A7" s="7" t="str">
        <x:v>divinity_artemis</x:v>
      </x:c>
      <x:c r="B7" s="7" t="str">
        <x:v>name_divinity_artemis</x:v>
      </x:c>
      <x:c r="C7" s="7" t="str">
        <x:v>culture_greek</x:v>
      </x:c>
      <x:c r="D7" s="11" t="str">
        <x:v>지정과 추렵: 첫 직접 적중으로 사냥감 지정 → 따라붙거나 거리 재확보 → 집중 마무리</x:v>
      </x:c>
      <x:c r="E7" s="11" t="str">
        <x:v>활과 사냥개를 갖춘 야생의 사냥꾼</x:v>
      </x:c>
      <x:c r="F7" s="11" t="str">
        <x:v>사냥개 잔영은 추적 보조 공격; 자동 승리·벽 관통 없음</x:v>
      </x:c>
      <x:c r="G7" s="7" t="str">
        <x:v>https://www.theoi.com/Olympios/ArtemisMyths.html</x:v>
      </x:c>
      <x:c r="H7" s="7" t="str">
        <x:v>pending</x:v>
      </x:c>
      <x:c r="I7" s="10" t="b">
        <x:v>0</x:v>
      </x:c>
    </x:row>
    <x:row r="8" ht="78" customHeight="1">
      <x:c r="A8" s="7" t="str">
        <x:v>divinity_skadi</x:v>
      </x:c>
      <x:c r="B8" s="7" t="str">
        <x:v>name_divinity_skadi</x:v>
      </x:c>
      <x:c r="C8" s="7" t="str">
        <x:v>culture_norse</x:v>
      </x:c>
      <x:c r="D8" s="11" t="str">
        <x:v>이동과 사냥터: 이동으로 유리한 거리 확보 → 발사/영역 형성 → 영역 밖으로 재배치</x:v>
      </x:c>
      <x:c r="E8" s="11" t="str">
        <x:v>바다보다 산을 택한 거처, 스키와 활을 통한 산악 사냥</x:v>
      </x:c>
      <x:c r="F8" s="11" t="str">
        <x:v>냉기·빙결은 산악 이미지의 각색이며 원전의 명시적 빙결 능력으로 주장하지 않음</x:v>
      </x:c>
      <x:c r="G8" s="7" t="str">
        <x:v>https://northerntales.se/en/eddas/prose-edda/gylfaginning/23/</x:v>
      </x:c>
      <x:c r="H8" s="7" t="str">
        <x:v>pending</x:v>
      </x:c>
      <x:c r="I8" s="10" t="b">
        <x:v>0</x:v>
      </x:c>
    </x:row>
    <x:row r="9">
      <x:c r="A9"/>
      <x:c r="B9"/>
      <x:c r="C9"/>
      <x:c r="D9"/>
      <x:c r="E9"/>
      <x:c r="F9"/>
      <x:c r="G9"/>
      <x:c r="H9"/>
      <x:c r="I9"/>
    </x:row>
  </x:sheetData>
  <x:pageMargins left="0.7" right="0.7" top="0.75" bottom="0.75" header="0.3" footer="0.3"/>
  <x:tableParts count="1">
    <x:tablePart xmlns:r="http://schemas.openxmlformats.org/officeDocument/2006/relationships" r:id="R14c5b313c6024e6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</x:cols>
  <x:sheetData>
    <x:row r="1" ht="44" customHeight="1">
      <x:c r="A1" s="6" t="str">
        <x:v>family_id</x:v>
      </x:c>
      <x:c r="B1" s="6" t="str">
        <x:v>name_key</x:v>
      </x:c>
    </x:row>
    <x:row r="2" ht="28" customHeight="1">
      <x:c r="A2" s="7" t="str">
        <x:v>family_spear</x:v>
      </x:c>
      <x:c r="B2" s="7" t="str">
        <x:v>name_family_spear</x:v>
      </x:c>
    </x:row>
    <x:row r="3" ht="28" customHeight="1">
      <x:c r="A3" s="7" t="str">
        <x:v>family_hammer</x:v>
      </x:c>
      <x:c r="B3" s="7" t="str">
        <x:v>name_family_hammer</x:v>
      </x:c>
    </x:row>
    <x:row r="4" ht="28" customHeight="1">
      <x:c r="A4" s="7" t="str">
        <x:v>family_greatsword</x:v>
      </x:c>
      <x:c r="B4" s="7" t="str">
        <x:v>name_family_greatsword</x:v>
      </x:c>
    </x:row>
    <x:row r="5" ht="28" customHeight="1">
      <x:c r="A5" s="7" t="str">
        <x:v>family_dagger</x:v>
      </x:c>
      <x:c r="B5" s="7" t="str">
        <x:v>name_family_dagger</x:v>
      </x:c>
    </x:row>
    <x:row r="6" ht="28" customHeight="1">
      <x:c r="A6" s="7" t="str">
        <x:v>family_sword_shield</x:v>
      </x:c>
      <x:c r="B6" s="7" t="str">
        <x:v>name_family_sword_shield</x:v>
      </x:c>
    </x:row>
    <x:row r="7" ht="28" customHeight="1">
      <x:c r="A7" s="7" t="str">
        <x:v>family_bow</x:v>
      </x:c>
      <x:c r="B7" s="7" t="str">
        <x:v>name_family_bow</x:v>
      </x:c>
    </x:row>
    <x:row r="8" ht="28" customHeight="1">
      <x:c r="A8" s="7" t="str">
        <x:v>family_staff</x:v>
      </x:c>
      <x:c r="B8" s="7" t="str">
        <x:v>name_family_staff</x:v>
      </x:c>
    </x:row>
  </x:sheetData>
  <x:pageMargins left="0.7" right="0.7" top="0.75" bottom="0.75" header="0.3" footer="0.3"/>
  <x:tableParts count="1">
    <x:tablePart xmlns:r="http://schemas.openxmlformats.org/officeDocument/2006/relationships" r:id="R554908ea73cb4ef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24" hidden="0" customWidth="1"/>
    <x:col min="5" max="5" width="58" hidden="0" customWidth="1"/>
    <x:col min="6" max="6" width="24" hidden="0" customWidth="1"/>
  </x:cols>
  <x:sheetData>
    <x:row r="1" ht="44" customHeight="1">
      <x:c r="A1" s="6" t="str">
        <x:v>pattern_id</x:v>
      </x:c>
      <x:c r="B1" s="6" t="str">
        <x:v>family_id</x:v>
      </x:c>
      <x:c r="C1" s="6" t="str">
        <x:v>attack_mode</x:v>
      </x:c>
      <x:c r="D1" s="6" t="str">
        <x:v>special_action</x:v>
      </x:c>
      <x:c r="E1" s="6" t="str">
        <x:v>action_description</x:v>
      </x:c>
      <x:c r="F1" s="6" t="str">
        <x:v>implementation_status</x:v>
      </x:c>
    </x:row>
    <x:row r="2" ht="78" customHeight="1">
      <x:c r="A2" s="7" t="str">
        <x:v>pattern_spear</x:v>
      </x:c>
      <x:c r="B2" s="7" t="str">
        <x:v>family_spear</x:v>
      </x:c>
      <x:c r="C2" s="7" t="str">
        <x:v>combo</x:v>
      </x:c>
      <x:c r="D2" s="7" t="str">
        <x:v>charge_attack</x:v>
      </x:c>
      <x:c r="E2" s="11" t="str">
        <x:v>전방 직선 찌르기 연격·간격 유지 / 제안: charge_attack 계약의 집중 찌르기</x:v>
      </x:c>
      <x:c r="F2" s="7" t="str">
        <x:v>pending</x:v>
      </x:c>
    </x:row>
    <x:row r="3" ht="78" customHeight="1">
      <x:c r="A3" s="7" t="str">
        <x:v>pattern_hammer</x:v>
      </x:c>
      <x:c r="B3" s="7" t="str">
        <x:v>family_hammer</x:v>
      </x:c>
      <x:c r="C3" s="7" t="str">
        <x:v>combo</x:v>
      </x:c>
      <x:c r="D3" s="7" t="str">
        <x:v>charge_attack</x:v>
      </x:c>
      <x:c r="E3" s="11" t="str">
        <x:v>짧고 무거운 전방 타격 / 제안: charge_attack 계약의 충전 내려찍기</x:v>
      </x:c>
      <x:c r="F3" s="7" t="str">
        <x:v>pending</x:v>
      </x:c>
    </x:row>
    <x:row r="4" ht="78" customHeight="1">
      <x:c r="A4" s="7" t="str">
        <x:v>pattern_greatsword</x:v>
      </x:c>
      <x:c r="B4" s="7" t="str">
        <x:v>family_greatsword</x:v>
      </x:c>
      <x:c r="C4" s="7" t="str">
        <x:v>combo</x:v>
      </x:c>
      <x:c r="D4" s="7" t="str">
        <x:v>charge_attack</x:v>
      </x:c>
      <x:c r="E4" s="11" t="str">
        <x:v>넓은 일반 베기 연격 / 기존: 충전 후 전방위 회전 베기</x:v>
      </x:c>
      <x:c r="F4" s="7" t="str">
        <x:v>pending</x:v>
      </x:c>
    </x:row>
    <x:row r="5" ht="78" customHeight="1">
      <x:c r="A5" s="7" t="str">
        <x:v>pattern_dagger</x:v>
      </x:c>
      <x:c r="B5" s="7" t="str">
        <x:v>family_dagger</x:v>
      </x:c>
      <x:c r="C5" s="7" t="str">
        <x:v>combo</x:v>
      </x:c>
      <x:c r="D5" s="7" t="str">
        <x:v>parry</x:v>
      </x:c>
      <x:c r="E5" s="11" t="str">
        <x:v>짧고 빠른 연격 / 기존: 새 누르기로 패링</x:v>
      </x:c>
      <x:c r="F5" s="7" t="str">
        <x:v>pending</x:v>
      </x:c>
    </x:row>
    <x:row r="6" ht="78" customHeight="1">
      <x:c r="A6" s="7" t="str">
        <x:v>pattern_sword_shield</x:v>
      </x:c>
      <x:c r="B6" s="7" t="str">
        <x:v>family_sword_shield</x:v>
      </x:c>
      <x:c r="C6" s="7" t="str">
        <x:v>combo</x:v>
      </x:c>
      <x:c r="D6" s="7" t="str">
        <x:v>guard</x:v>
      </x:c>
      <x:c r="E6" s="11" t="str">
        <x:v>전방 베기와 방어 전환 / 기존: 방향을 가진 유지 방어</x:v>
      </x:c>
      <x:c r="F6" s="7" t="str">
        <x:v>pending</x:v>
      </x:c>
    </x:row>
    <x:row r="7" ht="78" customHeight="1">
      <x:c r="A7" s="7" t="str">
        <x:v>pattern_bow</x:v>
      </x:c>
      <x:c r="B7" s="7" t="str">
        <x:v>family_bow</x:v>
      </x:c>
      <x:c r="C7" s="7" t="str">
        <x:v>magazine</x:v>
      </x:c>
      <x:c r="D7" s="7" t="str">
        <x:v>reload</x:v>
      </x:c>
      <x:c r="E7" s="11" t="str">
        <x:v>장탄을 쓰는 조준 화살 / 기존: 수동·빈 탄창 자동 재장전</x:v>
      </x:c>
      <x:c r="F7" s="7" t="str">
        <x:v>pending</x:v>
      </x:c>
    </x:row>
    <x:row r="8" ht="78" customHeight="1">
      <x:c r="A8" s="7" t="str">
        <x:v>pattern_staff</x:v>
      </x:c>
      <x:c r="B8" s="7" t="str">
        <x:v>family_staff</x:v>
      </x:c>
      <x:c r="C8" s="7" t="str">
        <x:v>magazine</x:v>
      </x:c>
      <x:c r="D8" s="7" t="str">
        <x:v>reload</x:v>
      </x:c>
      <x:c r="E8" s="11" t="str">
        <x:v>제안: 장탄형 마력탄, 기본 발사 마나 무료 / 제안: 기존 reload 계약의 마력탄 재충전</x:v>
      </x:c>
      <x:c r="F8" s="7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b39e5dde8e6748b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</x:cols>
  <x:sheetData>
    <x:row r="1" ht="44" customHeight="1">
      <x:c r="A1" s="6" t="str">
        <x:v>weapon_id</x:v>
      </x:c>
      <x:c r="B1" s="6" t="str">
        <x:v>name_key</x:v>
      </x:c>
      <x:c r="C1" s="6" t="str">
        <x:v>family_id</x:v>
      </x:c>
      <x:c r="D1" s="6" t="str">
        <x:v>attack_pattern_id</x:v>
      </x:c>
      <x:c r="E1" s="6" t="str">
        <x:v>design_key</x:v>
      </x:c>
      <x:c r="F1" s="5" t="str">
        <x:v>enabled</x:v>
      </x:c>
    </x:row>
    <x:row r="2" ht="28" customHeight="1">
      <x:c r="A2" s="7" t="str">
        <x:v>weapon_spear</x:v>
      </x:c>
      <x:c r="B2" s="7" t="str">
        <x:v>name_weapon_spear</x:v>
      </x:c>
      <x:c r="C2" s="7" t="str">
        <x:v>family_spear</x:v>
      </x:c>
      <x:c r="D2" s="7" t="str">
        <x:v>pattern_spear</x:v>
      </x:c>
      <x:c r="E2" s="7" t="str">
        <x:v>M1-SP</x:v>
      </x:c>
      <x:c r="F2" s="10" t="b">
        <x:v>0</x:v>
      </x:c>
    </x:row>
    <x:row r="3" ht="28" customHeight="1">
      <x:c r="A3" s="7" t="str">
        <x:v>weapon_hammer</x:v>
      </x:c>
      <x:c r="B3" s="7" t="str">
        <x:v>name_weapon_hammer</x:v>
      </x:c>
      <x:c r="C3" s="7" t="str">
        <x:v>family_hammer</x:v>
      </x:c>
      <x:c r="D3" s="7" t="str">
        <x:v>pattern_hammer</x:v>
      </x:c>
      <x:c r="E3" s="7" t="str">
        <x:v>M1-HM</x:v>
      </x:c>
      <x:c r="F3" s="10" t="b">
        <x:v>0</x:v>
      </x:c>
    </x:row>
    <x:row r="4" ht="28" customHeight="1">
      <x:c r="A4" s="7" t="str">
        <x:v>weapon_greatsword</x:v>
      </x:c>
      <x:c r="B4" s="7" t="str">
        <x:v>name_weapon_greatsword</x:v>
      </x:c>
      <x:c r="C4" s="7" t="str">
        <x:v>family_greatsword</x:v>
      </x:c>
      <x:c r="D4" s="7" t="str">
        <x:v>pattern_greatsword</x:v>
      </x:c>
      <x:c r="E4" s="7" t="str">
        <x:v>M1-GS</x:v>
      </x:c>
      <x:c r="F4" s="10" t="b">
        <x:v>0</x:v>
      </x:c>
    </x:row>
    <x:row r="5" ht="28" customHeight="1">
      <x:c r="A5" s="7" t="str">
        <x:v>weapon_dagger</x:v>
      </x:c>
      <x:c r="B5" s="7" t="str">
        <x:v>name_weapon_dagger</x:v>
      </x:c>
      <x:c r="C5" s="7" t="str">
        <x:v>family_dagger</x:v>
      </x:c>
      <x:c r="D5" s="7" t="str">
        <x:v>pattern_dagger</x:v>
      </x:c>
      <x:c r="E5" s="7" t="str">
        <x:v>M1-DG</x:v>
      </x:c>
      <x:c r="F5" s="10" t="b">
        <x:v>0</x:v>
      </x:c>
    </x:row>
    <x:row r="6" ht="28" customHeight="1">
      <x:c r="A6" s="7" t="str">
        <x:v>weapon_sword_shield</x:v>
      </x:c>
      <x:c r="B6" s="7" t="str">
        <x:v>name_weapon_sword_shield</x:v>
      </x:c>
      <x:c r="C6" s="7" t="str">
        <x:v>family_sword_shield</x:v>
      </x:c>
      <x:c r="D6" s="7" t="str">
        <x:v>pattern_sword_shield</x:v>
      </x:c>
      <x:c r="E6" s="7" t="str">
        <x:v>M1-SS</x:v>
      </x:c>
      <x:c r="F6" s="10" t="b">
        <x:v>0</x:v>
      </x:c>
    </x:row>
    <x:row r="7" ht="28" customHeight="1">
      <x:c r="A7" s="7" t="str">
        <x:v>weapon_bow</x:v>
      </x:c>
      <x:c r="B7" s="7" t="str">
        <x:v>name_weapon_bow</x:v>
      </x:c>
      <x:c r="C7" s="7" t="str">
        <x:v>family_bow</x:v>
      </x:c>
      <x:c r="D7" s="7" t="str">
        <x:v>pattern_bow</x:v>
      </x:c>
      <x:c r="E7" s="7" t="str">
        <x:v>M1-BW</x:v>
      </x:c>
      <x:c r="F7" s="10" t="b">
        <x:v>0</x:v>
      </x:c>
    </x:row>
    <x:row r="8" ht="28" customHeight="1">
      <x:c r="A8" s="7" t="str">
        <x:v>weapon_staff</x:v>
      </x:c>
      <x:c r="B8" s="7" t="str">
        <x:v>name_weapon_staff</x:v>
      </x:c>
      <x:c r="C8" s="7" t="str">
        <x:v>family_staff</x:v>
      </x:c>
      <x:c r="D8" s="7" t="str">
        <x:v>pattern_staff</x:v>
      </x:c>
      <x:c r="E8" s="7" t="str">
        <x:v>M1-ST</x:v>
      </x:c>
      <x:c r="F8" s="1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24cf5de201446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58" hidden="0" customWidth="1"/>
    <x:col min="7" max="7" width="24" hidden="0" customWidth="1"/>
  </x:cols>
  <x:sheetData>
    <x:row r="1" ht="44" customHeight="1">
      <x:c r="A1" s="6" t="str">
        <x:v>parameter_id</x:v>
      </x:c>
      <x:c r="B1" s="6" t="str">
        <x:v>value_type</x:v>
      </x:c>
      <x:c r="C1" s="6" t="str">
        <x:v>unit</x:v>
      </x:c>
      <x:c r="D1" s="12" t="str">
        <x:v>min_value</x:v>
      </x:c>
      <x:c r="E1" s="12" t="str">
        <x:v>max_value</x:v>
      </x:c>
      <x:c r="F1" s="6" t="str">
        <x:v>meaning</x:v>
      </x:c>
      <x:c r="G1" s="5" t="str">
        <x:v>allow_zero</x:v>
      </x:c>
    </x:row>
    <x:row r="2" ht="78" customHeight="1">
      <x:c r="A2" s="7" t="str">
        <x:v>damage_coefficient_ratio</x:v>
      </x:c>
      <x:c r="B2" s="7" t="str">
        <x:v>decimal</x:v>
      </x:c>
      <x:c r="C2" s="7" t="str">
        <x:v>ratio</x:v>
      </x:c>
      <x:c r="D2" s="13" t="n">
        <x:v>0</x:v>
      </x:c>
      <x:c r="E2" s="13"/>
      <x:c r="F2" s="11" t="str">
        <x:v>기본 공격력에 곱하는 배율. 1은 100%. 추가 효과용</x:v>
      </x:c>
      <x:c r="G2" s="10" t="b">
        <x:v>1</x:v>
      </x:c>
    </x:row>
    <x:row r="3" ht="78" customHeight="1">
      <x:c r="A3" s="7" t="str">
        <x:v>duration_sec</x:v>
      </x:c>
      <x:c r="B3" s="7" t="str">
        <x:v>decimal</x:v>
      </x:c>
      <x:c r="C3" s="7" t="str">
        <x:v>sec</x:v>
      </x:c>
      <x:c r="D3" s="13" t="n">
        <x:v>0</x:v>
      </x:c>
      <x:c r="E3" s="13"/>
      <x:c r="F3" s="11" t="str">
        <x:v>효과 또는 준비 상태의 유지 시간</x:v>
      </x:c>
      <x:c r="G3" s="10" t="b">
        <x:v>1</x:v>
      </x:c>
    </x:row>
    <x:row r="4" ht="78" customHeight="1">
      <x:c r="A4" s="7" t="str">
        <x:v>cooldown_sec</x:v>
      </x:c>
      <x:c r="B4" s="7" t="str">
        <x:v>decimal</x:v>
      </x:c>
      <x:c r="C4" s="7" t="str">
        <x:v>sec</x:v>
      </x:c>
      <x:c r="D4" s="13" t="n">
        <x:v>0</x:v>
      </x:c>
      <x:c r="E4" s="13"/>
      <x:c r="F4" s="11" t="str">
        <x:v>동일 효과의 재발동 제한</x:v>
      </x:c>
      <x:c r="G4" s="10" t="b">
        <x:v>1</x:v>
      </x:c>
    </x:row>
    <x:row r="5" ht="78" customHeight="1">
      <x:c r="A5" s="7" t="str">
        <x:v>delay_sec</x:v>
      </x:c>
      <x:c r="B5" s="7" t="str">
        <x:v>decimal</x:v>
      </x:c>
      <x:c r="C5" s="7" t="str">
        <x:v>sec</x:v>
      </x:c>
      <x:c r="D5" s="13" t="n">
        <x:v>0</x:v>
      </x:c>
      <x:c r="E5" s="13"/>
      <x:c r="F5" s="11" t="str">
        <x:v>집행부터 판정까지 지연</x:v>
      </x:c>
      <x:c r="G5" s="10" t="b">
        <x:v>1</x:v>
      </x:c>
    </x:row>
    <x:row r="6" ht="78" customHeight="1">
      <x:c r="A6" s="7" t="str">
        <x:v>radius_units</x:v>
      </x:c>
      <x:c r="B6" s="7" t="str">
        <x:v>decimal</x:v>
      </x:c>
      <x:c r="C6" s="7" t="str">
        <x:v>world_unit</x:v>
      </x:c>
      <x:c r="D6" s="13" t="n">
        <x:v>0</x:v>
      </x:c>
      <x:c r="E6" s="13"/>
      <x:c r="F6" s="11" t="str">
        <x:v>효과 반경. 월드 단위 환산은 후속</x:v>
      </x:c>
      <x:c r="G6" s="10" t="b">
        <x:v>0</x:v>
      </x:c>
    </x:row>
    <x:row r="7" ht="78" customHeight="1">
      <x:c r="A7" s="7" t="str">
        <x:v>max_stack_count</x:v>
      </x:c>
      <x:c r="B7" s="7" t="str">
        <x:v>integer</x:v>
      </x:c>
      <x:c r="C7" s="7" t="str">
        <x:v>count</x:v>
      </x:c>
      <x:c r="D7" s="13" t="n">
        <x:v>1</x:v>
      </x:c>
      <x:c r="E7" s="13"/>
      <x:c r="F7" s="11" t="str">
        <x:v>소유자별 저장 스택 상한</x:v>
      </x:c>
      <x:c r="G7" s="10" t="b">
        <x:v>0</x:v>
      </x:c>
    </x:row>
    <x:row r="8" ht="78" customHeight="1">
      <x:c r="A8" s="7" t="str">
        <x:v>max_target_count</x:v>
      </x:c>
      <x:c r="B8" s="7" t="str">
        <x:v>integer</x:v>
      </x:c>
      <x:c r="C8" s="7" t="str">
        <x:v>count</x:v>
      </x:c>
      <x:c r="D8" s="13" t="n">
        <x:v>1</x:v>
      </x:c>
      <x:c r="E8" s="13"/>
      <x:c r="F8" s="11" t="str">
        <x:v>실행 하나의 효과 대상 상한</x:v>
      </x:c>
      <x:c r="G8" s="10" t="b">
        <x:v>0</x:v>
      </x:c>
    </x:row>
    <x:row r="9" ht="78" customHeight="1">
      <x:c r="A9" s="7" t="str">
        <x:v>move_distance_units</x:v>
      </x:c>
      <x:c r="B9" s="7" t="str">
        <x:v>decimal</x:v>
      </x:c>
      <x:c r="C9" s="7" t="str">
        <x:v>world_unit</x:v>
      </x:c>
      <x:c r="D9" s="13" t="n">
        <x:v>0</x:v>
      </x:c>
      <x:c r="E9" s="13"/>
      <x:c r="F9" s="11" t="str">
        <x:v>자발적 실제 이동의 요구 거리</x:v>
      </x:c>
      <x:c r="G9" s="10" t="b">
        <x:v>0</x:v>
      </x:c>
    </x:row>
    <x:row r="10" ht="78" customHeight="1">
      <x:c r="A10" s="7" t="str">
        <x:v>range_units</x:v>
      </x:c>
      <x:c r="B10" s="7" t="str">
        <x:v>decimal</x:v>
      </x:c>
      <x:c r="C10" s="7" t="str">
        <x:v>world_unit</x:v>
      </x:c>
      <x:c r="D10" s="13" t="n">
        <x:v>0</x:v>
      </x:c>
      <x:c r="E10" s="13"/>
      <x:c r="F10" s="11" t="str">
        <x:v>유효 사거리 또는 투척 최대 거리</x:v>
      </x:c>
      <x:c r="G10" s="10" t="b">
        <x:v>0</x:v>
      </x:c>
    </x:row>
    <x:row r="11" ht="78" customHeight="1">
      <x:c r="A11" s="7" t="str">
        <x:v>projectile_speed_units_per_sec</x:v>
      </x:c>
      <x:c r="B11" s="7" t="str">
        <x:v>decimal</x:v>
      </x:c>
      <x:c r="C11" s="7" t="str">
        <x:v>world_unit_per_sec</x:v>
      </x:c>
      <x:c r="D11" s="13" t="n">
        <x:v>0</x:v>
      </x:c>
      <x:c r="E11" s="13"/>
      <x:c r="F11" s="11" t="str">
        <x:v>비행 속도</x:v>
      </x:c>
      <x:c r="G11" s="10" t="b">
        <x:v>0</x:v>
      </x:c>
    </x:row>
    <x:row r="12" ht="78" customHeight="1">
      <x:c r="A12" s="7" t="str">
        <x:v>return_timeout_sec</x:v>
      </x:c>
      <x:c r="B12" s="7" t="str">
        <x:v>decimal</x:v>
      </x:c>
      <x:c r="C12" s="7" t="str">
        <x:v>sec</x:v>
      </x:c>
      <x:c r="D12" s="13" t="n">
        <x:v>0</x:v>
      </x:c>
      <x:c r="E12" s="13"/>
      <x:c r="F12" s="11" t="str">
        <x:v>투척 회수 지연의 무피해 복귀 상한</x:v>
      </x:c>
      <x:c r="G12" s="10" t="b">
        <x:v>0</x:v>
      </x:c>
    </x:row>
    <x:row r="13" ht="78" customHeight="1">
      <x:c r="A13" s="7" t="str">
        <x:v>timing_window_sec</x:v>
      </x:c>
      <x:c r="B13" s="7" t="str">
        <x:v>decimal</x:v>
      </x:c>
      <x:c r="C13" s="7" t="str">
        <x:v>sec</x:v>
      </x:c>
      <x:c r="D13" s="13" t="n">
        <x:v>0</x:v>
      </x:c>
      <x:c r="E13" s="13"/>
      <x:c r="F13" s="11" t="str">
        <x:v>리듬 성공 판정 구간 길이</x:v>
      </x:c>
      <x:c r="G13" s="10" t="b">
        <x:v>0</x:v>
      </x:c>
    </x:row>
    <x:row r="14" ht="78" customHeight="1">
      <x:c r="A14" s="7" t="str">
        <x:v>slow_ratio</x:v>
      </x:c>
      <x:c r="B14" s="7" t="str">
        <x:v>decimal</x:v>
      </x:c>
      <x:c r="C14" s="7" t="str">
        <x:v>ratio</x:v>
      </x:c>
      <x:c r="D14" s="13" t="n">
        <x:v>0</x:v>
      </x:c>
      <x:c r="E14" s="13" t="n">
        <x:v>1</x:v>
      </x:c>
      <x:c r="F14" s="11" t="str">
        <x:v>이동 속도 감소 비율. 0.2는 20% 감소</x:v>
      </x:c>
      <x:c r="G14" s="10" t="b">
        <x:v>1</x:v>
      </x:c>
    </x:row>
    <x:row r="15" ht="78" customHeight="1">
      <x:c r="A15" s="7" t="str">
        <x:v>max_area_count</x:v>
      </x:c>
      <x:c r="B15" s="7" t="str">
        <x:v>integer</x:v>
      </x:c>
      <x:c r="C15" s="7" t="str">
        <x:v>count</x:v>
      </x:c>
      <x:c r="D15" s="13" t="n">
        <x:v>1</x:v>
      </x:c>
      <x:c r="E15" s="13"/>
      <x:c r="F15" s="11" t="str">
        <x:v>소유자별 동시 영역 상한</x:v>
      </x:c>
      <x:c r="G15" s="10" t="b">
        <x:v>0</x:v>
      </x:c>
    </x:row>
    <x:row r="16" ht="78" customHeight="1">
      <x:c r="A16" s="7" t="str">
        <x:v>max_hits_per_leg_count</x:v>
      </x:c>
      <x:c r="B16" s="7" t="str">
        <x:v>integer</x:v>
      </x:c>
      <x:c r="C16" s="7" t="str">
        <x:v>count</x:v>
      </x:c>
      <x:c r="D16" s="13" t="n">
        <x:v>1</x:v>
      </x:c>
      <x:c r="E16" s="13"/>
      <x:c r="F16" s="11" t="str">
        <x:v>투척 전진 또는 귀환 한 구간의 대상별 적중 상한</x:v>
      </x:c>
      <x:c r="G16" s="10" t="b">
        <x:v>0</x:v>
      </x:c>
    </x:row>
    <x:row r="17" ht="78" customHeight="1">
      <x:c r="A17" s="7" t="str">
        <x:v>base_attack</x:v>
      </x:c>
      <x:c r="B17" s="7" t="str">
        <x:v>decimal</x:v>
      </x:c>
      <x:c r="C17" s="7" t="str">
        <x:v>attack_point</x:v>
      </x:c>
      <x:c r="D17" s="13" t="n">
        <x:v>0</x:v>
      </x:c>
      <x:c r="E17" s="13"/>
      <x:c r="F17" s="11" t="str">
        <x:v>무기 기본 공격력</x:v>
      </x:c>
      <x:c r="G17" s="10" t="b">
        <x:v>1</x:v>
      </x:c>
    </x:row>
    <x:row r="18" ht="78" customHeight="1">
      <x:c r="A18" s="7" t="str">
        <x:v>mana_cost</x:v>
      </x:c>
      <x:c r="B18" s="7" t="str">
        <x:v>decimal</x:v>
      </x:c>
      <x:c r="C18" s="7" t="str">
        <x:v>mana_point</x:v>
      </x:c>
      <x:c r="D18" s="13" t="n">
        <x:v>0</x:v>
      </x:c>
      <x:c r="E18" s="13"/>
      <x:c r="F18" s="11" t="str">
        <x:v>특수행동 집행 비용</x:v>
      </x:c>
      <x:c r="G18" s="10" t="b">
        <x:v>1</x:v>
      </x:c>
    </x:row>
    <x:row r="19" ht="78" customHeight="1">
      <x:c r="A19" s="7" t="str">
        <x:v>combo_end_gap_sec</x:v>
      </x:c>
      <x:c r="B19" s="7" t="str">
        <x:v>decimal</x:v>
      </x:c>
      <x:c r="C19" s="7" t="str">
        <x:v>sec</x:v>
      </x:c>
      <x:c r="D19" s="13" t="n">
        <x:v>0</x:v>
      </x:c>
      <x:c r="E19" s="13"/>
      <x:c r="F19" s="11" t="str">
        <x:v>연격 완주 공백과 중단 대기</x:v>
      </x:c>
      <x:c r="G19" s="10" t="b">
        <x:v>1</x:v>
      </x:c>
    </x:row>
    <x:row r="20" ht="78" customHeight="1">
      <x:c r="A20" s="7" t="str">
        <x:v>magazine_capacity</x:v>
      </x:c>
      <x:c r="B20" s="7" t="str">
        <x:v>integer</x:v>
      </x:c>
      <x:c r="C20" s="7" t="str">
        <x:v>count</x:v>
      </x:c>
      <x:c r="D20" s="13" t="n">
        <x:v>1</x:v>
      </x:c>
      <x:c r="E20" s="13"/>
      <x:c r="F20" s="11" t="str">
        <x:v>장탄 수</x:v>
      </x:c>
      <x:c r="G20" s="10" t="b">
        <x:v>0</x:v>
      </x:c>
    </x:row>
    <x:row r="21" ht="78" customHeight="1">
      <x:c r="A21" s="7" t="str">
        <x:v>reload_sec</x:v>
      </x:c>
      <x:c r="B21" s="7" t="str">
        <x:v>decimal</x:v>
      </x:c>
      <x:c r="C21" s="7" t="str">
        <x:v>sec</x:v>
      </x:c>
      <x:c r="D21" s="13" t="n">
        <x:v>0</x:v>
      </x:c>
      <x:c r="E21" s="13"/>
      <x:c r="F21" s="11" t="str">
        <x:v>재장전 완료까지 시간</x:v>
      </x:c>
      <x:c r="G21" s="10" t="b">
        <x:v>0</x:v>
      </x:c>
    </x:row>
    <x:row r="22" ht="78" customHeight="1">
      <x:c r="A22" s="7" t="str">
        <x:v>cost_amount</x:v>
      </x:c>
      <x:c r="B22" s="7" t="str">
        <x:v>integer</x:v>
      </x:c>
      <x:c r="C22" s="7" t="str">
        <x:v>currency_unit</x:v>
      </x:c>
      <x:c r="D22" s="13" t="n">
        <x:v>0</x:v>
      </x:c>
      <x:c r="E22" s="13"/>
      <x:c r="F22" s="11" t="str">
        <x:v>강화 비용. 통화 단위 연결 확정 전 사용 금지</x:v>
      </x:c>
      <x:c r="G22" s="10" t="b">
        <x:v>1</x:v>
      </x:c>
    </x:row>
    <x:row r="23" ht="78" customHeight="1">
      <x:c r="A23" s="7" t="str">
        <x:v>attack_move_speed_ratio</x:v>
      </x:c>
      <x:c r="B23" s="7" t="str">
        <x:v>decimal</x:v>
      </x:c>
      <x:c r="C23" s="7" t="str">
        <x:v>ratio</x:v>
      </x:c>
      <x:c r="D23" s="13" t="n">
        <x:v>0</x:v>
      </x:c>
      <x:c r="E23" s="13"/>
      <x:c r="F23" s="11" t="str">
        <x:v>기본 이동 속도에 곱하는 공격 중 배율</x:v>
      </x:c>
      <x:c r="G23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87f696e20434d7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4" hidden="0" customWidth="1"/>
    <x:col min="5" max="5" width="34" hidden="0" customWidth="1"/>
    <x:col min="6" max="6" width="58" hidden="0" customWidth="1"/>
    <x:col min="7" max="7" width="24" hidden="0" customWidth="1"/>
  </x:cols>
  <x:sheetData>
    <x:row r="1" ht="44" customHeight="1">
      <x:c r="A1" s="6" t="str">
        <x:v>upgrade_id</x:v>
      </x:c>
      <x:c r="B1" s="6" t="str">
        <x:v>name_key</x:v>
      </x:c>
      <x:c r="C1" s="6" t="str">
        <x:v>weapon_family_id</x:v>
      </x:c>
      <x:c r="D1" s="14" t="str">
        <x:v>stage_index</x:v>
      </x:c>
      <x:c r="E1" s="6" t="str">
        <x:v>design_key</x:v>
      </x:c>
      <x:c r="F1" s="6" t="str">
        <x:v>apply_policy</x:v>
      </x:c>
      <x:c r="G1" s="5" t="str">
        <x:v>enabled</x:v>
      </x:c>
    </x:row>
    <x:row r="2" ht="78" customHeight="1">
      <x:c r="A2" s="7" t="str">
        <x:v>upgrade_m2_sp_line</x:v>
      </x:c>
      <x:c r="B2" s="7" t="str">
        <x:v>name_upgrade_m2_sp_line</x:v>
      </x:c>
      <x:c r="C2" s="7" t="str">
        <x:v>family_spear</x:v>
      </x:c>
      <x:c r="D2" s="15" t="n">
        <x:v>2</x:v>
      </x:c>
      <x:c r="E2" s="7" t="str">
        <x:v>M2-SP-LINE</x:v>
      </x:c>
      <x:c r="F2" s="11" t="str">
        <x:v>replace_parent_base</x:v>
      </x:c>
      <x:c r="G2" s="10" t="b">
        <x:v>0</x:v>
      </x:c>
    </x:row>
    <x:row r="3" ht="78" customHeight="1">
      <x:c r="A3" s="7" t="str">
        <x:v>upgrade_m2_sp_pursuit</x:v>
      </x:c>
      <x:c r="B3" s="7" t="str">
        <x:v>name_upgrade_m2_sp_pursuit</x:v>
      </x:c>
      <x:c r="C3" s="7" t="str">
        <x:v>family_spear</x:v>
      </x:c>
      <x:c r="D3" s="15" t="n">
        <x:v>2</x:v>
      </x:c>
      <x:c r="E3" s="7" t="str">
        <x:v>M2-SP-PURSUIT</x:v>
      </x:c>
      <x:c r="F3" s="11" t="str">
        <x:v>replace_parent_base</x:v>
      </x:c>
      <x:c r="G3" s="10" t="b">
        <x:v>0</x:v>
      </x:c>
    </x:row>
    <x:row r="4" ht="78" customHeight="1">
      <x:c r="A4" s="7" t="str">
        <x:v>upgrade_m2_hm_return</x:v>
      </x:c>
      <x:c r="B4" s="7" t="str">
        <x:v>name_upgrade_m2_hm_return</x:v>
      </x:c>
      <x:c r="C4" s="7" t="str">
        <x:v>family_hammer</x:v>
      </x:c>
      <x:c r="D4" s="15" t="n">
        <x:v>2</x:v>
      </x:c>
      <x:c r="E4" s="7" t="str">
        <x:v>M2-HM-RETURN</x:v>
      </x:c>
      <x:c r="F4" s="11" t="str">
        <x:v>replace_parent_base</x:v>
      </x:c>
      <x:c r="G4" s="10" t="b">
        <x:v>0</x:v>
      </x:c>
    </x:row>
    <x:row r="5" ht="78" customHeight="1">
      <x:c r="A5" s="7" t="str">
        <x:v>upgrade_m2_hm_impact</x:v>
      </x:c>
      <x:c r="B5" s="7" t="str">
        <x:v>name_upgrade_m2_hm_impact</x:v>
      </x:c>
      <x:c r="C5" s="7" t="str">
        <x:v>family_hammer</x:v>
      </x:c>
      <x:c r="D5" s="15" t="n">
        <x:v>2</x:v>
      </x:c>
      <x:c r="E5" s="7" t="str">
        <x:v>M2-HM-IMPACT</x:v>
      </x:c>
      <x:c r="F5" s="11" t="str">
        <x:v>replace_parent_base</x:v>
      </x:c>
      <x:c r="G5" s="10" t="b">
        <x:v>0</x:v>
      </x:c>
    </x:row>
    <x:row r="6" ht="78" customHeight="1">
      <x:c r="A6" s="7" t="str">
        <x:v>upgrade_m2_gs_seal</x:v>
      </x:c>
      <x:c r="B6" s="7" t="str">
        <x:v>name_upgrade_m2_gs_seal</x:v>
      </x:c>
      <x:c r="C6" s="7" t="str">
        <x:v>family_greatsword</x:v>
      </x:c>
      <x:c r="D6" s="15" t="n">
        <x:v>2</x:v>
      </x:c>
      <x:c r="E6" s="7" t="str">
        <x:v>M2-GS-SEAL</x:v>
      </x:c>
      <x:c r="F6" s="11" t="str">
        <x:v>replace_parent_base</x:v>
      </x:c>
      <x:c r="G6" s="10" t="b">
        <x:v>0</x:v>
      </x:c>
    </x:row>
    <x:row r="7" ht="78" customHeight="1">
      <x:c r="A7" s="7" t="str">
        <x:v>upgrade_m2_dg_stalk</x:v>
      </x:c>
      <x:c r="B7" s="7" t="str">
        <x:v>name_upgrade_m2_dg_stalk</x:v>
      </x:c>
      <x:c r="C7" s="7" t="str">
        <x:v>family_dagger</x:v>
      </x:c>
      <x:c r="D7" s="15" t="n">
        <x:v>2</x:v>
      </x:c>
      <x:c r="E7" s="7" t="str">
        <x:v>M2-DG-STALK</x:v>
      </x:c>
      <x:c r="F7" s="11" t="str">
        <x:v>replace_parent_base</x:v>
      </x:c>
      <x:c r="G7" s="10" t="b">
        <x:v>0</x:v>
      </x:c>
    </x:row>
    <x:row r="8" ht="78" customHeight="1">
      <x:c r="A8" s="7" t="str">
        <x:v>upgrade_m2_ss_counter</x:v>
      </x:c>
      <x:c r="B8" s="7" t="str">
        <x:v>name_upgrade_m2_ss_counter</x:v>
      </x:c>
      <x:c r="C8" s="7" t="str">
        <x:v>family_sword_shield</x:v>
      </x:c>
      <x:c r="D8" s="15" t="n">
        <x:v>2</x:v>
      </x:c>
      <x:c r="E8" s="7" t="str">
        <x:v>M2-SS-COUNTER</x:v>
      </x:c>
      <x:c r="F8" s="11" t="str">
        <x:v>replace_parent_base</x:v>
      </x:c>
      <x:c r="G8" s="10" t="b">
        <x:v>0</x:v>
      </x:c>
    </x:row>
    <x:row r="9" ht="78" customHeight="1">
      <x:c r="A9" s="7" t="str">
        <x:v>upgrade_m2_bw_aim</x:v>
      </x:c>
      <x:c r="B9" s="7" t="str">
        <x:v>name_upgrade_m2_bw_aim</x:v>
      </x:c>
      <x:c r="C9" s="7" t="str">
        <x:v>family_bow</x:v>
      </x:c>
      <x:c r="D9" s="15" t="n">
        <x:v>2</x:v>
      </x:c>
      <x:c r="E9" s="7" t="str">
        <x:v>M2-BW-AIM</x:v>
      </x:c>
      <x:c r="F9" s="11" t="str">
        <x:v>replace_parent_base</x:v>
      </x:c>
      <x:c r="G9" s="10" t="b">
        <x:v>0</x:v>
      </x:c>
    </x:row>
    <x:row r="10" ht="78" customHeight="1">
      <x:c r="A10" s="7" t="str">
        <x:v>upgrade_m2_bw_move</x:v>
      </x:c>
      <x:c r="B10" s="7" t="str">
        <x:v>name_upgrade_m2_bw_move</x:v>
      </x:c>
      <x:c r="C10" s="7" t="str">
        <x:v>family_bow</x:v>
      </x:c>
      <x:c r="D10" s="15" t="n">
        <x:v>2</x:v>
      </x:c>
      <x:c r="E10" s="7" t="str">
        <x:v>M2-BW-MOVE</x:v>
      </x:c>
      <x:c r="F10" s="11" t="str">
        <x:v>replace_parent_base</x:v>
      </x:c>
      <x:c r="G10" s="10" t="b">
        <x:v>0</x:v>
      </x:c>
    </x:row>
    <x:row r="11" ht="78" customHeight="1">
      <x:c r="A11" s="7" t="str">
        <x:v>upgrade_m2_st_cadence</x:v>
      </x:c>
      <x:c r="B11" s="7" t="str">
        <x:v>name_upgrade_m2_st_cadence</x:v>
      </x:c>
      <x:c r="C11" s="7" t="str">
        <x:v>family_staff</x:v>
      </x:c>
      <x:c r="D11" s="15" t="n">
        <x:v>2</x:v>
      </x:c>
      <x:c r="E11" s="7" t="str">
        <x:v>M2-ST-CADENCE</x:v>
      </x:c>
      <x:c r="F11" s="11" t="str">
        <x:v>replace_parent_base</x:v>
      </x:c>
      <x:c r="G11" s="10" t="b">
        <x:v>0</x:v>
      </x:c>
    </x:row>
    <x:row r="12" ht="78" customHeight="1">
      <x:c r="A12" s="7" t="str">
        <x:v>upgrade_m3_zeu_sp</x:v>
      </x:c>
      <x:c r="B12" s="7" t="str">
        <x:v>name_upgrade_m3_zeu_sp</x:v>
      </x:c>
      <x:c r="C12" s="7" t="str">
        <x:v>family_spear</x:v>
      </x:c>
      <x:c r="D12" s="15" t="n">
        <x:v>3</x:v>
      </x:c>
      <x:c r="E12" s="7" t="str">
        <x:v>M3-ZEU-SP</x:v>
      </x:c>
      <x:c r="F12" s="11" t="str">
        <x:v>replace_parent_base</x:v>
      </x:c>
      <x:c r="G12" s="10" t="b">
        <x:v>0</x:v>
      </x:c>
    </x:row>
    <x:row r="13" ht="78" customHeight="1">
      <x:c r="A13" s="7" t="str">
        <x:v>upgrade_m3_zeu_hm</x:v>
      </x:c>
      <x:c r="B13" s="7" t="str">
        <x:v>name_upgrade_m3_zeu_hm</x:v>
      </x:c>
      <x:c r="C13" s="7" t="str">
        <x:v>family_hammer</x:v>
      </x:c>
      <x:c r="D13" s="15" t="n">
        <x:v>3</x:v>
      </x:c>
      <x:c r="E13" s="7" t="str">
        <x:v>M3-ZEU-HM</x:v>
      </x:c>
      <x:c r="F13" s="11" t="str">
        <x:v>replace_parent_base</x:v>
      </x:c>
      <x:c r="G13" s="10" t="b">
        <x:v>0</x:v>
      </x:c>
    </x:row>
    <x:row r="14" ht="78" customHeight="1">
      <x:c r="A14" s="7" t="str">
        <x:v>upgrade_m3_zeu_ss</x:v>
      </x:c>
      <x:c r="B14" s="7" t="str">
        <x:v>name_upgrade_m3_zeu_ss</x:v>
      </x:c>
      <x:c r="C14" s="7" t="str">
        <x:v>family_sword_shield</x:v>
      </x:c>
      <x:c r="D14" s="15" t="n">
        <x:v>3</x:v>
      </x:c>
      <x:c r="E14" s="7" t="str">
        <x:v>M3-ZEU-SS</x:v>
      </x:c>
      <x:c r="F14" s="11" t="str">
        <x:v>replace_parent_base</x:v>
      </x:c>
      <x:c r="G14" s="10" t="b">
        <x:v>0</x:v>
      </x:c>
    </x:row>
    <x:row r="15" ht="78" customHeight="1">
      <x:c r="A15" s="7" t="str">
        <x:v>upgrade_m3_tho_hm_r</x:v>
      </x:c>
      <x:c r="B15" s="7" t="str">
        <x:v>name_upgrade_m3_tho_hm_r</x:v>
      </x:c>
      <x:c r="C15" s="7" t="str">
        <x:v>family_hammer</x:v>
      </x:c>
      <x:c r="D15" s="15" t="n">
        <x:v>3</x:v>
      </x:c>
      <x:c r="E15" s="7" t="str">
        <x:v>M3-THO-HM-R</x:v>
      </x:c>
      <x:c r="F15" s="11" t="str">
        <x:v>replace_parent_base</x:v>
      </x:c>
      <x:c r="G15" s="10" t="b">
        <x:v>0</x:v>
      </x:c>
    </x:row>
    <x:row r="16" ht="78" customHeight="1">
      <x:c r="A16" s="7" t="str">
        <x:v>upgrade_m3_tho_hm_i</x:v>
      </x:c>
      <x:c r="B16" s="7" t="str">
        <x:v>name_upgrade_m3_tho_hm_i</x:v>
      </x:c>
      <x:c r="C16" s="7" t="str">
        <x:v>family_hammer</x:v>
      </x:c>
      <x:c r="D16" s="15" t="n">
        <x:v>3</x:v>
      </x:c>
      <x:c r="E16" s="7" t="str">
        <x:v>M3-THO-HM-I</x:v>
      </x:c>
      <x:c r="F16" s="11" t="str">
        <x:v>replace_parent_base</x:v>
      </x:c>
      <x:c r="G16" s="10" t="b">
        <x:v>0</x:v>
      </x:c>
    </x:row>
    <x:row r="17" ht="78" customHeight="1">
      <x:c r="A17" s="7" t="str">
        <x:v>upgrade_m3_apo_sp</x:v>
      </x:c>
      <x:c r="B17" s="7" t="str">
        <x:v>name_upgrade_m3_apo_sp</x:v>
      </x:c>
      <x:c r="C17" s="7" t="str">
        <x:v>family_spear</x:v>
      </x:c>
      <x:c r="D17" s="15" t="n">
        <x:v>3</x:v>
      </x:c>
      <x:c r="E17" s="7" t="str">
        <x:v>M3-APO-SP</x:v>
      </x:c>
      <x:c r="F17" s="11" t="str">
        <x:v>replace_parent_base</x:v>
      </x:c>
      <x:c r="G17" s="10" t="b">
        <x:v>0</x:v>
      </x:c>
    </x:row>
    <x:row r="18" ht="78" customHeight="1">
      <x:c r="A18" s="7" t="str">
        <x:v>upgrade_m3_apo_bw</x:v>
      </x:c>
      <x:c r="B18" s="7" t="str">
        <x:v>name_upgrade_m3_apo_bw</x:v>
      </x:c>
      <x:c r="C18" s="7" t="str">
        <x:v>family_bow</x:v>
      </x:c>
      <x:c r="D18" s="15" t="n">
        <x:v>3</x:v>
      </x:c>
      <x:c r="E18" s="7" t="str">
        <x:v>M3-APO-BW</x:v>
      </x:c>
      <x:c r="F18" s="11" t="str">
        <x:v>replace_parent_base</x:v>
      </x:c>
      <x:c r="G18" s="10" t="b">
        <x:v>0</x:v>
      </x:c>
    </x:row>
    <x:row r="19" ht="78" customHeight="1">
      <x:c r="A19" s="7" t="str">
        <x:v>upgrade_m3_apo_st</x:v>
      </x:c>
      <x:c r="B19" s="7" t="str">
        <x:v>name_upgrade_m3_apo_st</x:v>
      </x:c>
      <x:c r="C19" s="7" t="str">
        <x:v>family_staff</x:v>
      </x:c>
      <x:c r="D19" s="15" t="n">
        <x:v>3</x:v>
      </x:c>
      <x:c r="E19" s="7" t="str">
        <x:v>M3-APO-ST</x:v>
      </x:c>
      <x:c r="F19" s="11" t="str">
        <x:v>replace_parent_base</x:v>
      </x:c>
      <x:c r="G19" s="10" t="b">
        <x:v>0</x:v>
      </x:c>
    </x:row>
    <x:row r="20" ht="78" customHeight="1">
      <x:c r="A20" s="7" t="str">
        <x:v>upgrade_m3_are_sp</x:v>
      </x:c>
      <x:c r="B20" s="7" t="str">
        <x:v>name_upgrade_m3_are_sp</x:v>
      </x:c>
      <x:c r="C20" s="7" t="str">
        <x:v>family_spear</x:v>
      </x:c>
      <x:c r="D20" s="15" t="n">
        <x:v>3</x:v>
      </x:c>
      <x:c r="E20" s="7" t="str">
        <x:v>M3-ARE-SP</x:v>
      </x:c>
      <x:c r="F20" s="11" t="str">
        <x:v>replace_parent_base</x:v>
      </x:c>
      <x:c r="G20" s="10" t="b">
        <x:v>0</x:v>
      </x:c>
    </x:row>
    <x:row r="21" ht="78" customHeight="1">
      <x:c r="A21" s="7" t="str">
        <x:v>upgrade_m3_are_gs</x:v>
      </x:c>
      <x:c r="B21" s="7" t="str">
        <x:v>name_upgrade_m3_are_gs</x:v>
      </x:c>
      <x:c r="C21" s="7" t="str">
        <x:v>family_greatsword</x:v>
      </x:c>
      <x:c r="D21" s="15" t="n">
        <x:v>3</x:v>
      </x:c>
      <x:c r="E21" s="7" t="str">
        <x:v>M3-ARE-GS</x:v>
      </x:c>
      <x:c r="F21" s="11" t="str">
        <x:v>replace_parent_base</x:v>
      </x:c>
      <x:c r="G21" s="10" t="b">
        <x:v>0</x:v>
      </x:c>
    </x:row>
    <x:row r="22" ht="78" customHeight="1">
      <x:c r="A22" s="7" t="str">
        <x:v>upgrade_m3_are_ss</x:v>
      </x:c>
      <x:c r="B22" s="7" t="str">
        <x:v>name_upgrade_m3_are_ss</x:v>
      </x:c>
      <x:c r="C22" s="7" t="str">
        <x:v>family_sword_shield</x:v>
      </x:c>
      <x:c r="D22" s="15" t="n">
        <x:v>3</x:v>
      </x:c>
      <x:c r="E22" s="7" t="str">
        <x:v>M3-ARE-SS</x:v>
      </x:c>
      <x:c r="F22" s="11" t="str">
        <x:v>replace_parent_base</x:v>
      </x:c>
      <x:c r="G22" s="10" t="b">
        <x:v>0</x:v>
      </x:c>
    </x:row>
    <x:row r="23" ht="78" customHeight="1">
      <x:c r="A23" s="7" t="str">
        <x:v>upgrade_m3_had_gs</x:v>
      </x:c>
      <x:c r="B23" s="7" t="str">
        <x:v>name_upgrade_m3_had_gs</x:v>
      </x:c>
      <x:c r="C23" s="7" t="str">
        <x:v>family_greatsword</x:v>
      </x:c>
      <x:c r="D23" s="15" t="n">
        <x:v>3</x:v>
      </x:c>
      <x:c r="E23" s="7" t="str">
        <x:v>M3-HAD-GS</x:v>
      </x:c>
      <x:c r="F23" s="11" t="str">
        <x:v>replace_parent_base</x:v>
      </x:c>
      <x:c r="G23" s="10" t="b">
        <x:v>0</x:v>
      </x:c>
    </x:row>
    <x:row r="24" ht="78" customHeight="1">
      <x:c r="A24" s="7" t="str">
        <x:v>upgrade_m3_had_dg</x:v>
      </x:c>
      <x:c r="B24" s="7" t="str">
        <x:v>name_upgrade_m3_had_dg</x:v>
      </x:c>
      <x:c r="C24" s="7" t="str">
        <x:v>family_dagger</x:v>
      </x:c>
      <x:c r="D24" s="15" t="n">
        <x:v>3</x:v>
      </x:c>
      <x:c r="E24" s="7" t="str">
        <x:v>M3-HAD-DG</x:v>
      </x:c>
      <x:c r="F24" s="11" t="str">
        <x:v>replace_parent_base</x:v>
      </x:c>
      <x:c r="G24" s="10" t="b">
        <x:v>0</x:v>
      </x:c>
    </x:row>
    <x:row r="25" ht="78" customHeight="1">
      <x:c r="A25" s="7" t="str">
        <x:v>upgrade_m3_art_sp</x:v>
      </x:c>
      <x:c r="B25" s="7" t="str">
        <x:v>name_upgrade_m3_art_sp</x:v>
      </x:c>
      <x:c r="C25" s="7" t="str">
        <x:v>family_spear</x:v>
      </x:c>
      <x:c r="D25" s="15" t="n">
        <x:v>3</x:v>
      </x:c>
      <x:c r="E25" s="7" t="str">
        <x:v>M3-ART-SP</x:v>
      </x:c>
      <x:c r="F25" s="11" t="str">
        <x:v>replace_parent_base</x:v>
      </x:c>
      <x:c r="G25" s="10" t="b">
        <x:v>0</x:v>
      </x:c>
    </x:row>
    <x:row r="26" ht="78" customHeight="1">
      <x:c r="A26" s="7" t="str">
        <x:v>upgrade_m3_art_dg</x:v>
      </x:c>
      <x:c r="B26" s="7" t="str">
        <x:v>name_upgrade_m3_art_dg</x:v>
      </x:c>
      <x:c r="C26" s="7" t="str">
        <x:v>family_dagger</x:v>
      </x:c>
      <x:c r="D26" s="15" t="n">
        <x:v>3</x:v>
      </x:c>
      <x:c r="E26" s="7" t="str">
        <x:v>M3-ART-DG</x:v>
      </x:c>
      <x:c r="F26" s="11" t="str">
        <x:v>replace_parent_base</x:v>
      </x:c>
      <x:c r="G26" s="10" t="b">
        <x:v>0</x:v>
      </x:c>
    </x:row>
    <x:row r="27" ht="78" customHeight="1">
      <x:c r="A27" s="7" t="str">
        <x:v>upgrade_m3_art_bw</x:v>
      </x:c>
      <x:c r="B27" s="7" t="str">
        <x:v>name_upgrade_m3_art_bw</x:v>
      </x:c>
      <x:c r="C27" s="7" t="str">
        <x:v>family_bow</x:v>
      </x:c>
      <x:c r="D27" s="15" t="n">
        <x:v>3</x:v>
      </x:c>
      <x:c r="E27" s="7" t="str">
        <x:v>M3-ART-BW</x:v>
      </x:c>
      <x:c r="F27" s="11" t="str">
        <x:v>replace_parent_base</x:v>
      </x:c>
      <x:c r="G27" s="10" t="b">
        <x:v>0</x:v>
      </x:c>
    </x:row>
    <x:row r="28" ht="78" customHeight="1">
      <x:c r="A28" s="7" t="str">
        <x:v>upgrade_m3_ska_bw</x:v>
      </x:c>
      <x:c r="B28" s="7" t="str">
        <x:v>name_upgrade_m3_ska_bw</x:v>
      </x:c>
      <x:c r="C28" s="7" t="str">
        <x:v>family_bow</x:v>
      </x:c>
      <x:c r="D28" s="15" t="n">
        <x:v>3</x:v>
      </x:c>
      <x:c r="E28" s="7" t="str">
        <x:v>M3-SKA-BW</x:v>
      </x:c>
      <x:c r="F28" s="11" t="str">
        <x:v>replace_parent_base</x:v>
      </x:c>
      <x:c r="G28" s="10" t="b">
        <x:v>0</x:v>
      </x:c>
    </x:row>
    <x:row r="29" ht="78" customHeight="1">
      <x:c r="A29" s="7" t="str">
        <x:v>upgrade_m3_ska_st</x:v>
      </x:c>
      <x:c r="B29" s="7" t="str">
        <x:v>name_upgrade_m3_ska_st</x:v>
      </x:c>
      <x:c r="C29" s="7" t="str">
        <x:v>family_staff</x:v>
      </x:c>
      <x:c r="D29" s="15" t="n">
        <x:v>3</x:v>
      </x:c>
      <x:c r="E29" s="7" t="str">
        <x:v>M3-SKA-ST</x:v>
      </x:c>
      <x:c r="F29" s="11" t="str">
        <x:v>replace_parent_base</x:v>
      </x:c>
      <x:c r="G29" s="10" t="b">
        <x:v>0</x:v>
      </x:c>
    </x:row>
  </x:sheetData>
  <x:dataValidations count="1">
    <x:dataValidation type="whole" operator="between" sqref="D2:D29">
      <x:formula1>2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8dd31415dac405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34" hidden="0" customWidth="1"/>
    <x:col min="4" max="4" width="34" hidden="0" customWidth="1"/>
  </x:cols>
  <x:sheetData>
    <x:row r="1" ht="44" customHeight="1">
      <x:c r="A1" s="6" t="str">
        <x:v>edge_id</x:v>
      </x:c>
      <x:c r="B1" s="6" t="str">
        <x:v>from_type</x:v>
      </x:c>
      <x:c r="C1" s="6" t="str">
        <x:v>from_id</x:v>
      </x:c>
      <x:c r="D1" s="6" t="str">
        <x:v>to_upgrade_id</x:v>
      </x:c>
    </x:row>
    <x:row r="2" ht="28" customHeight="1">
      <x:c r="A2" s="7" t="str">
        <x:v>edge_m2_sp_line</x:v>
      </x:c>
      <x:c r="B2" s="7" t="str">
        <x:v>Weapon</x:v>
      </x:c>
      <x:c r="C2" s="7" t="str">
        <x:v>weapon_spear</x:v>
      </x:c>
      <x:c r="D2" s="7" t="str">
        <x:v>upgrade_m2_sp_line</x:v>
      </x:c>
    </x:row>
    <x:row r="3" ht="28" customHeight="1">
      <x:c r="A3" s="7" t="str">
        <x:v>edge_m2_sp_pursuit</x:v>
      </x:c>
      <x:c r="B3" s="7" t="str">
        <x:v>Weapon</x:v>
      </x:c>
      <x:c r="C3" s="7" t="str">
        <x:v>weapon_spear</x:v>
      </x:c>
      <x:c r="D3" s="7" t="str">
        <x:v>upgrade_m2_sp_pursuit</x:v>
      </x:c>
    </x:row>
    <x:row r="4" ht="28" customHeight="1">
      <x:c r="A4" s="7" t="str">
        <x:v>edge_m2_hm_return</x:v>
      </x:c>
      <x:c r="B4" s="7" t="str">
        <x:v>Weapon</x:v>
      </x:c>
      <x:c r="C4" s="7" t="str">
        <x:v>weapon_hammer</x:v>
      </x:c>
      <x:c r="D4" s="7" t="str">
        <x:v>upgrade_m2_hm_return</x:v>
      </x:c>
    </x:row>
    <x:row r="5" ht="28" customHeight="1">
      <x:c r="A5" s="7" t="str">
        <x:v>edge_m2_hm_impact</x:v>
      </x:c>
      <x:c r="B5" s="7" t="str">
        <x:v>Weapon</x:v>
      </x:c>
      <x:c r="C5" s="7" t="str">
        <x:v>weapon_hammer</x:v>
      </x:c>
      <x:c r="D5" s="7" t="str">
        <x:v>upgrade_m2_hm_impact</x:v>
      </x:c>
    </x:row>
    <x:row r="6" ht="28" customHeight="1">
      <x:c r="A6" s="7" t="str">
        <x:v>edge_m2_gs_seal</x:v>
      </x:c>
      <x:c r="B6" s="7" t="str">
        <x:v>Weapon</x:v>
      </x:c>
      <x:c r="C6" s="7" t="str">
        <x:v>weapon_greatsword</x:v>
      </x:c>
      <x:c r="D6" s="7" t="str">
        <x:v>upgrade_m2_gs_seal</x:v>
      </x:c>
    </x:row>
    <x:row r="7" ht="28" customHeight="1">
      <x:c r="A7" s="7" t="str">
        <x:v>edge_m2_dg_stalk</x:v>
      </x:c>
      <x:c r="B7" s="7" t="str">
        <x:v>Weapon</x:v>
      </x:c>
      <x:c r="C7" s="7" t="str">
        <x:v>weapon_dagger</x:v>
      </x:c>
      <x:c r="D7" s="7" t="str">
        <x:v>upgrade_m2_dg_stalk</x:v>
      </x:c>
    </x:row>
    <x:row r="8" ht="28" customHeight="1">
      <x:c r="A8" s="7" t="str">
        <x:v>edge_m2_ss_counter</x:v>
      </x:c>
      <x:c r="B8" s="7" t="str">
        <x:v>Weapon</x:v>
      </x:c>
      <x:c r="C8" s="7" t="str">
        <x:v>weapon_sword_shield</x:v>
      </x:c>
      <x:c r="D8" s="7" t="str">
        <x:v>upgrade_m2_ss_counter</x:v>
      </x:c>
    </x:row>
    <x:row r="9" ht="28" customHeight="1">
      <x:c r="A9" s="7" t="str">
        <x:v>edge_m2_bw_aim</x:v>
      </x:c>
      <x:c r="B9" s="7" t="str">
        <x:v>Weapon</x:v>
      </x:c>
      <x:c r="C9" s="7" t="str">
        <x:v>weapon_bow</x:v>
      </x:c>
      <x:c r="D9" s="7" t="str">
        <x:v>upgrade_m2_bw_aim</x:v>
      </x:c>
    </x:row>
    <x:row r="10" ht="28" customHeight="1">
      <x:c r="A10" s="7" t="str">
        <x:v>edge_m2_bw_move</x:v>
      </x:c>
      <x:c r="B10" s="7" t="str">
        <x:v>Weapon</x:v>
      </x:c>
      <x:c r="C10" s="7" t="str">
        <x:v>weapon_bow</x:v>
      </x:c>
      <x:c r="D10" s="7" t="str">
        <x:v>upgrade_m2_bw_move</x:v>
      </x:c>
    </x:row>
    <x:row r="11" ht="28" customHeight="1">
      <x:c r="A11" s="7" t="str">
        <x:v>edge_m2_st_cadence</x:v>
      </x:c>
      <x:c r="B11" s="7" t="str">
        <x:v>Weapon</x:v>
      </x:c>
      <x:c r="C11" s="7" t="str">
        <x:v>weapon_staff</x:v>
      </x:c>
      <x:c r="D11" s="7" t="str">
        <x:v>upgrade_m2_st_cadence</x:v>
      </x:c>
    </x:row>
    <x:row r="12" ht="28" customHeight="1">
      <x:c r="A12" s="7" t="str">
        <x:v>edge_m3_zeu_sp</x:v>
      </x:c>
      <x:c r="B12" s="7" t="str">
        <x:v>Upgrade</x:v>
      </x:c>
      <x:c r="C12" s="7" t="str">
        <x:v>upgrade_m2_sp_line</x:v>
      </x:c>
      <x:c r="D12" s="7" t="str">
        <x:v>upgrade_m3_zeu_sp</x:v>
      </x:c>
    </x:row>
    <x:row r="13" ht="28" customHeight="1">
      <x:c r="A13" s="7" t="str">
        <x:v>edge_m3_zeu_hm</x:v>
      </x:c>
      <x:c r="B13" s="7" t="str">
        <x:v>Upgrade</x:v>
      </x:c>
      <x:c r="C13" s="7" t="str">
        <x:v>upgrade_m2_hm_impact</x:v>
      </x:c>
      <x:c r="D13" s="7" t="str">
        <x:v>upgrade_m3_zeu_hm</x:v>
      </x:c>
    </x:row>
    <x:row r="14" ht="28" customHeight="1">
      <x:c r="A14" s="7" t="str">
        <x:v>edge_m3_zeu_ss</x:v>
      </x:c>
      <x:c r="B14" s="7" t="str">
        <x:v>Upgrade</x:v>
      </x:c>
      <x:c r="C14" s="7" t="str">
        <x:v>upgrade_m2_ss_counter</x:v>
      </x:c>
      <x:c r="D14" s="7" t="str">
        <x:v>upgrade_m3_zeu_ss</x:v>
      </x:c>
    </x:row>
    <x:row r="15" ht="28" customHeight="1">
      <x:c r="A15" s="7" t="str">
        <x:v>edge_m3_tho_hm_r</x:v>
      </x:c>
      <x:c r="B15" s="7" t="str">
        <x:v>Upgrade</x:v>
      </x:c>
      <x:c r="C15" s="7" t="str">
        <x:v>upgrade_m2_hm_return</x:v>
      </x:c>
      <x:c r="D15" s="7" t="str">
        <x:v>upgrade_m3_tho_hm_r</x:v>
      </x:c>
    </x:row>
    <x:row r="16" ht="28" customHeight="1">
      <x:c r="A16" s="7" t="str">
        <x:v>edge_m3_tho_hm_i</x:v>
      </x:c>
      <x:c r="B16" s="7" t="str">
        <x:v>Upgrade</x:v>
      </x:c>
      <x:c r="C16" s="7" t="str">
        <x:v>upgrade_m2_hm_impact</x:v>
      </x:c>
      <x:c r="D16" s="7" t="str">
        <x:v>upgrade_m3_tho_hm_i</x:v>
      </x:c>
    </x:row>
    <x:row r="17" ht="28" customHeight="1">
      <x:c r="A17" s="7" t="str">
        <x:v>edge_m3_apo_sp</x:v>
      </x:c>
      <x:c r="B17" s="7" t="str">
        <x:v>Upgrade</x:v>
      </x:c>
      <x:c r="C17" s="7" t="str">
        <x:v>upgrade_m2_sp_line</x:v>
      </x:c>
      <x:c r="D17" s="7" t="str">
        <x:v>upgrade_m3_apo_sp</x:v>
      </x:c>
    </x:row>
    <x:row r="18" ht="28" customHeight="1">
      <x:c r="A18" s="7" t="str">
        <x:v>edge_m3_apo_bw</x:v>
      </x:c>
      <x:c r="B18" s="7" t="str">
        <x:v>Upgrade</x:v>
      </x:c>
      <x:c r="C18" s="7" t="str">
        <x:v>upgrade_m2_bw_aim</x:v>
      </x:c>
      <x:c r="D18" s="7" t="str">
        <x:v>upgrade_m3_apo_bw</x:v>
      </x:c>
    </x:row>
    <x:row r="19" ht="28" customHeight="1">
      <x:c r="A19" s="7" t="str">
        <x:v>edge_m3_apo_st</x:v>
      </x:c>
      <x:c r="B19" s="7" t="str">
        <x:v>Upgrade</x:v>
      </x:c>
      <x:c r="C19" s="7" t="str">
        <x:v>upgrade_m2_st_cadence</x:v>
      </x:c>
      <x:c r="D19" s="7" t="str">
        <x:v>upgrade_m3_apo_st</x:v>
      </x:c>
    </x:row>
    <x:row r="20" ht="28" customHeight="1">
      <x:c r="A20" s="7" t="str">
        <x:v>edge_m3_are_sp</x:v>
      </x:c>
      <x:c r="B20" s="7" t="str">
        <x:v>Upgrade</x:v>
      </x:c>
      <x:c r="C20" s="7" t="str">
        <x:v>upgrade_m2_sp_pursuit</x:v>
      </x:c>
      <x:c r="D20" s="7" t="str">
        <x:v>upgrade_m3_are_sp</x:v>
      </x:c>
    </x:row>
    <x:row r="21" ht="28" customHeight="1">
      <x:c r="A21" s="7" t="str">
        <x:v>edge_m3_are_gs</x:v>
      </x:c>
      <x:c r="B21" s="7" t="str">
        <x:v>Upgrade</x:v>
      </x:c>
      <x:c r="C21" s="7" t="str">
        <x:v>upgrade_m2_gs_seal</x:v>
      </x:c>
      <x:c r="D21" s="7" t="str">
        <x:v>upgrade_m3_are_gs</x:v>
      </x:c>
    </x:row>
    <x:row r="22" ht="28" customHeight="1">
      <x:c r="A22" s="7" t="str">
        <x:v>edge_m3_are_ss</x:v>
      </x:c>
      <x:c r="B22" s="7" t="str">
        <x:v>Upgrade</x:v>
      </x:c>
      <x:c r="C22" s="7" t="str">
        <x:v>upgrade_m2_ss_counter</x:v>
      </x:c>
      <x:c r="D22" s="7" t="str">
        <x:v>upgrade_m3_are_ss</x:v>
      </x:c>
    </x:row>
    <x:row r="23" ht="28" customHeight="1">
      <x:c r="A23" s="7" t="str">
        <x:v>edge_m3_had_gs</x:v>
      </x:c>
      <x:c r="B23" s="7" t="str">
        <x:v>Upgrade</x:v>
      </x:c>
      <x:c r="C23" s="7" t="str">
        <x:v>upgrade_m2_gs_seal</x:v>
      </x:c>
      <x:c r="D23" s="7" t="str">
        <x:v>upgrade_m3_had_gs</x:v>
      </x:c>
    </x:row>
    <x:row r="24" ht="28" customHeight="1">
      <x:c r="A24" s="7" t="str">
        <x:v>edge_m3_had_dg</x:v>
      </x:c>
      <x:c r="B24" s="7" t="str">
        <x:v>Upgrade</x:v>
      </x:c>
      <x:c r="C24" s="7" t="str">
        <x:v>upgrade_m2_dg_stalk</x:v>
      </x:c>
      <x:c r="D24" s="7" t="str">
        <x:v>upgrade_m3_had_dg</x:v>
      </x:c>
    </x:row>
    <x:row r="25" ht="28" customHeight="1">
      <x:c r="A25" s="7" t="str">
        <x:v>edge_m3_art_sp</x:v>
      </x:c>
      <x:c r="B25" s="7" t="str">
        <x:v>Upgrade</x:v>
      </x:c>
      <x:c r="C25" s="7" t="str">
        <x:v>upgrade_m2_sp_pursuit</x:v>
      </x:c>
      <x:c r="D25" s="7" t="str">
        <x:v>upgrade_m3_art_sp</x:v>
      </x:c>
    </x:row>
    <x:row r="26" ht="28" customHeight="1">
      <x:c r="A26" s="7" t="str">
        <x:v>edge_m3_art_dg</x:v>
      </x:c>
      <x:c r="B26" s="7" t="str">
        <x:v>Upgrade</x:v>
      </x:c>
      <x:c r="C26" s="7" t="str">
        <x:v>upgrade_m2_dg_stalk</x:v>
      </x:c>
      <x:c r="D26" s="7" t="str">
        <x:v>upgrade_m3_art_dg</x:v>
      </x:c>
    </x:row>
    <x:row r="27" ht="28" customHeight="1">
      <x:c r="A27" s="7" t="str">
        <x:v>edge_m3_art_bw</x:v>
      </x:c>
      <x:c r="B27" s="7" t="str">
        <x:v>Upgrade</x:v>
      </x:c>
      <x:c r="C27" s="7" t="str">
        <x:v>upgrade_m2_bw_aim</x:v>
      </x:c>
      <x:c r="D27" s="7" t="str">
        <x:v>upgrade_m3_art_bw</x:v>
      </x:c>
    </x:row>
    <x:row r="28" ht="28" customHeight="1">
      <x:c r="A28" s="7" t="str">
        <x:v>edge_m3_ska_bw</x:v>
      </x:c>
      <x:c r="B28" s="7" t="str">
        <x:v>Upgrade</x:v>
      </x:c>
      <x:c r="C28" s="7" t="str">
        <x:v>upgrade_m2_bw_move</x:v>
      </x:c>
      <x:c r="D28" s="7" t="str">
        <x:v>upgrade_m3_ska_bw</x:v>
      </x:c>
    </x:row>
    <x:row r="29" ht="28" customHeight="1">
      <x:c r="A29" s="7" t="str">
        <x:v>edge_m3_ska_st</x:v>
      </x:c>
      <x:c r="B29" s="7" t="str">
        <x:v>Upgrade</x:v>
      </x:c>
      <x:c r="C29" s="7" t="str">
        <x:v>upgrade_m2_st_cadence</x:v>
      </x:c>
      <x:c r="D29" s="7" t="str">
        <x:v>upgrade_m3_ska_st</x:v>
      </x:c>
    </x:row>
  </x:sheetData>
  <x:pageMargins left="0.7" right="0.7" top="0.75" bottom="0.75" header="0.3" footer="0.3"/>
  <x:tableParts count="1">
    <x:tablePart xmlns:r="http://schemas.openxmlformats.org/officeDocument/2006/relationships" r:id="Re6eeefadbbb341d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34" hidden="0" customWidth="1"/>
    <x:col min="4" max="4" width="58" hidden="0" customWidth="1"/>
    <x:col min="5" max="5" width="58" hidden="0" customWidth="1"/>
    <x:col min="6" max="6" width="24" hidden="0" customWidth="1"/>
  </x:cols>
  <x:sheetData>
    <x:row r="1" ht="44" customHeight="1">
      <x:c r="A1" s="6" t="str">
        <x:v>effect_id</x:v>
      </x:c>
      <x:c r="B1" s="6" t="str">
        <x:v>layer</x:v>
      </x:c>
      <x:c r="C1" s="6" t="str">
        <x:v>profile_key</x:v>
      </x:c>
      <x:c r="D1" s="6" t="str">
        <x:v>description</x:v>
      </x:c>
      <x:c r="E1" s="6" t="str">
        <x:v>failure_policy</x:v>
      </x:c>
      <x:c r="F1" s="6" t="str">
        <x:v>implementation_status</x:v>
      </x:c>
    </x:row>
    <x:row r="2" ht="78" customHeight="1">
      <x:c r="A2" s="7" t="str">
        <x:v>effect_m2_sp_line_base</x:v>
      </x:c>
      <x:c r="B2" s="7" t="str">
        <x:v>base</x:v>
      </x:c>
      <x:c r="C2" s="7" t="str">
        <x:v>M2-SP-LINE</x:v>
      </x:c>
      <x:c r="D2" s="11" t="str">
        <x:v>창끝·직선 적중 준비 → 다음 지정 찌르기 강화</x:v>
      </x:c>
      <x:c r="E2" s="11" t="str">
        <x:v>신성 없이 작동. 강화 교체 시 이전 기본 프로필 제거. 상세 행동 경계는 기획서 7절</x:v>
      </x:c>
      <x:c r="F2" s="7" t="str">
        <x:v>pending</x:v>
      </x:c>
    </x:row>
    <x:row r="3" ht="78" customHeight="1">
      <x:c r="A3" s="7" t="str">
        <x:v>effect_m2_sp_pursuit_base</x:v>
      </x:c>
      <x:c r="B3" s="7" t="str">
        <x:v>base</x:v>
      </x:c>
      <x:c r="C3" s="7" t="str">
        <x:v>M2-SP-PURSUIT</x:v>
      </x:c>
      <x:c r="D3" s="11" t="str">
        <x:v>먼저 맞힌 표적 지정 → 같은 적 후속 찌르기 보상</x:v>
      </x:c>
      <x:c r="E3" s="11" t="str">
        <x:v>신성 없이 작동. 강화 교체 시 이전 기본 프로필 제거. 상세 행동 경계는 기획서 7절</x:v>
      </x:c>
      <x:c r="F3" s="7" t="str">
        <x:v>pending</x:v>
      </x:c>
    </x:row>
    <x:row r="4" ht="78" customHeight="1">
      <x:c r="A4" s="7" t="str">
        <x:v>effect_m2_hm_return_base</x:v>
      </x:c>
      <x:c r="B4" s="7" t="str">
        <x:v>base</x:v>
      </x:c>
      <x:c r="C4" s="7" t="str">
        <x:v>M2-HM-RETURN</x:v>
      </x:c>
      <x:c r="D4" s="11" t="str">
        <x:v>충전 투척 → 실제 왕복 접촉 → 회수 후 근접 공격 재개</x:v>
      </x:c>
      <x:c r="E4" s="11" t="str">
        <x:v>신성 없이 작동. 강화 교체 시 이전 기본 프로필 제거. 상세 행동 경계는 기획서 7절</x:v>
      </x:c>
      <x:c r="F4" s="7" t="str">
        <x:v>pending</x:v>
      </x:c>
    </x:row>
    <x:row r="5" ht="78" customHeight="1">
      <x:c r="A5" s="7" t="str">
        <x:v>effect_m2_hm_impact_base</x:v>
      </x:c>
      <x:c r="B5" s="7" t="str">
        <x:v>base</x:v>
      </x:c>
      <x:c r="C5" s="7" t="str">
        <x:v>M2-HM-IMPACT</x:v>
      </x:c>
      <x:c r="D5" s="11" t="str">
        <x:v>일반 적중 충격 저장 → 충전 내려찍기 소비</x:v>
      </x:c>
      <x:c r="E5" s="11" t="str">
        <x:v>신성 없이 작동. 강화 교체 시 이전 기본 프로필 제거. 상세 행동 경계는 기획서 7절</x:v>
      </x:c>
      <x:c r="F5" s="7" t="str">
        <x:v>pending</x:v>
      </x:c>
    </x:row>
    <x:row r="6" ht="78" customHeight="1">
      <x:c r="A6" s="7" t="str">
        <x:v>effect_m2_gs_seal_base</x:v>
      </x:c>
      <x:c r="B6" s="7" t="str">
        <x:v>base</x:v>
      </x:c>
      <x:c r="C6" s="7" t="str">
        <x:v>M2-GS-SEAL</x:v>
      </x:c>
      <x:c r="D6" s="11" t="str">
        <x:v>넓은 일반 베기로 표식 → 충전 회전으로 닿은 표식 결산</x:v>
      </x:c>
      <x:c r="E6" s="11" t="str">
        <x:v>신성 없이 작동. 강화 교체 시 이전 기본 프로필 제거. 상세 행동 경계는 기획서 7절</x:v>
      </x:c>
      <x:c r="F6" s="7" t="str">
        <x:v>pending</x:v>
      </x:c>
    </x:row>
    <x:row r="7" ht="78" customHeight="1">
      <x:c r="A7" s="7" t="str">
        <x:v>effect_m2_dg_stalk_base</x:v>
      </x:c>
      <x:c r="B7" s="7" t="str">
        <x:v>base</x:v>
      </x:c>
      <x:c r="C7" s="7" t="str">
        <x:v>M2-DG-STALK</x:v>
      </x:c>
      <x:c r="D7" s="11" t="str">
        <x:v>지정 표적 직접 적중 → 거리 이탈 → 재접근 타격 강화</x:v>
      </x:c>
      <x:c r="E7" s="11" t="str">
        <x:v>신성 없이 작동. 강화 교체 시 이전 기본 프로필 제거. 상세 행동 경계는 기획서 7절</x:v>
      </x:c>
      <x:c r="F7" s="7" t="str">
        <x:v>pending</x:v>
      </x:c>
    </x:row>
    <x:row r="8" ht="78" customHeight="1">
      <x:c r="A8" s="7" t="str">
        <x:v>effect_m2_ss_counter_base</x:v>
      </x:c>
      <x:c r="B8" s="7" t="str">
        <x:v>base</x:v>
      </x:c>
      <x:c r="C8" s="7" t="str">
        <x:v>M2-SS-COUNTER</x:v>
      </x:c>
      <x:c r="D8" s="11" t="str">
        <x:v>유효 전방 방어 → 다음 직접 검 타격 강화</x:v>
      </x:c>
      <x:c r="E8" s="11" t="str">
        <x:v>신성 없이 작동. 강화 교체 시 이전 기본 프로필 제거. 상세 행동 경계는 기획서 7절</x:v>
      </x:c>
      <x:c r="F8" s="7" t="str">
        <x:v>pending</x:v>
      </x:c>
    </x:row>
    <x:row r="9" ht="78" customHeight="1">
      <x:c r="A9" s="7" t="str">
        <x:v>effect_m2_bw_aim_base</x:v>
      </x:c>
      <x:c r="B9" s="7" t="str">
        <x:v>base</x:v>
      </x:c>
      <x:c r="C9" s="7" t="str">
        <x:v>M2-BW-AIM</x:v>
      </x:c>
      <x:c r="D9" s="11" t="str">
        <x:v>같은 표적의 직접 화살 적중 → 다음 화살 강화</x:v>
      </x:c>
      <x:c r="E9" s="11" t="str">
        <x:v>신성 없이 작동. 강화 교체 시 이전 기본 프로필 제거. 상세 행동 경계는 기획서 7절</x:v>
      </x:c>
      <x:c r="F9" s="7" t="str">
        <x:v>pending</x:v>
      </x:c>
    </x:row>
    <x:row r="10" ht="78" customHeight="1">
      <x:c r="A10" s="7" t="str">
        <x:v>effect_m2_bw_move_base</x:v>
      </x:c>
      <x:c r="B10" s="7" t="str">
        <x:v>base</x:v>
      </x:c>
      <x:c r="C10" s="7" t="str">
        <x:v>M2-BW-MOVE</x:v>
      </x:c>
      <x:c r="D10" s="11" t="str">
        <x:v>실제 이동으로 간격 확보 → 다음 화살 강화</x:v>
      </x:c>
      <x:c r="E10" s="11" t="str">
        <x:v>신성 없이 작동. 강화 교체 시 이전 기본 프로필 제거. 상세 행동 경계는 기획서 7절</x:v>
      </x:c>
      <x:c r="F10" s="7" t="str">
        <x:v>pending</x:v>
      </x:c>
    </x:row>
    <x:row r="11" ht="78" customHeight="1">
      <x:c r="A11" s="7" t="str">
        <x:v>effect_m2_st_cadence_base</x:v>
      </x:c>
      <x:c r="B11" s="7" t="str">
        <x:v>base</x:v>
      </x:c>
      <x:c r="C11" s="7" t="str">
        <x:v>M2-ST-CADENCE</x:v>
      </x:c>
      <x:c r="D11" s="11" t="str">
        <x:v>기본탄 적중 후 발사 기회 표시 → 다음 준비탄 발사 보상</x:v>
      </x:c>
      <x:c r="E11" s="11" t="str">
        <x:v>신성 없이 작동. 강화 교체 시 이전 기본 프로필 제거. 상세 행동 경계는 기획서 7절</x:v>
      </x:c>
      <x:c r="F11" s="7" t="str">
        <x:v>pending</x:v>
      </x:c>
    </x:row>
    <x:row r="12" ht="78" customHeight="1">
      <x:c r="A12" s="7" t="str">
        <x:v>effect_m3_zeu_sp_base</x:v>
      </x:c>
      <x:c r="B12" s="7" t="str">
        <x:v>base</x:v>
      </x:c>
      <x:c r="C12" s="7" t="str">
        <x:v>M3-ZEU-SP</x:v>
      </x:c>
      <x:c r="D12" s="11" t="str">
        <x:v>창끝 직접 적중으로 표식, 연격 마지막 찌르기로 해당 표식 소비</x:v>
      </x:c>
      <x:c r="E12" s="11" t="str">
        <x:v>낙뢰는 집행 시 고정된 지점을 공격하므로 이동 적은 회피 가능. 보스에도 표식·피해는 적용</x:v>
      </x:c>
      <x:c r="F12" s="7" t="str">
        <x:v>pending</x:v>
      </x:c>
    </x:row>
    <x:row r="13" ht="78" customHeight="1">
      <x:c r="A13" s="7" t="str">
        <x:v>effect_m3_zeu_sp_resonance</x:v>
      </x:c>
      <x:c r="B13" s="7" t="str">
        <x:v>resonance</x:v>
      </x:c>
      <x:c r="C13" s="7" t="str">
        <x:v>M3-ZEU-SP</x:v>
      </x:c>
      <x:c r="D13" s="11" t="str">
        <x:v>소비한 대상 위치에 예고 후 낙뢰. 대상별 표식 하나를 한 번만 소비</x:v>
      </x:c>
      <x:c r="E13" s="11" t="str">
        <x:v>낙뢰는 집행 시 고정된 지점을 공격하므로 이동 적은 회피 가능. 보스에도 표식·피해는 적용 / 벼락 모티프, 창작명. 갈라진 창끝·수직 섬광</x:v>
      </x:c>
      <x:c r="F13" s="7" t="str">
        <x:v>pending</x:v>
      </x:c>
    </x:row>
    <x:row r="14" ht="78" customHeight="1">
      <x:c r="A14" s="7" t="str">
        <x:v>effect_m3_zeu_hm_base</x:v>
      </x:c>
      <x:c r="B14" s="7" t="str">
        <x:v>base</x:v>
      </x:c>
      <x:c r="C14" s="7" t="str">
        <x:v>M3-ZEU-HM</x:v>
      </x:c>
      <x:c r="D14" s="11" t="str">
        <x:v>일반 타격으로 충격 저장, 충전 내려찍기에 소비</x:v>
      </x:c>
      <x:c r="E14" s="11" t="str">
        <x:v>헛강타는 저장량 소비, 추가 낙뢰는 없음. 보스 경직 면역 유지</x:v>
      </x:c>
      <x:c r="F14" s="7" t="str">
        <x:v>pending</x:v>
      </x:c>
    </x:row>
    <x:row r="15" ht="78" customHeight="1">
      <x:c r="A15" s="7" t="str">
        <x:v>effect_m3_zeu_hm_resonance</x:v>
      </x:c>
      <x:c r="B15" s="7" t="str">
        <x:v>resonance</x:v>
      </x:c>
      <x:c r="C15" s="7" t="str">
        <x:v>M3-ZEU-HM</x:v>
      </x:c>
      <x:c r="D15" s="11" t="str">
        <x:v>첫 직접 강타 적중이 그 대상에게 선고를 남기고 후속 낙뢰 한 번</x:v>
      </x:c>
      <x:c r="E15" s="11" t="str">
        <x:v>헛강타는 저장량 소비, 추가 낙뢰는 없음. 보스 경직 면역 유지 / 티탄 전쟁의 창작 망치. 계단형 금속 머리</x:v>
      </x:c>
      <x:c r="F15" s="7" t="str">
        <x:v>pending</x:v>
      </x:c>
    </x:row>
    <x:row r="16" ht="78" customHeight="1">
      <x:c r="A16" s="7" t="str">
        <x:v>effect_m3_zeu_ss_base</x:v>
      </x:c>
      <x:c r="B16" s="7" t="str">
        <x:v>base</x:v>
      </x:c>
      <x:c r="C16" s="7" t="str">
        <x:v>M3-ZEU-SS</x:v>
      </x:c>
      <x:c r="D16" s="11" t="str">
        <x:v>실제 전방 방어 후 다음 검 타격 강화</x:v>
      </x:c>
      <x:c r="E16" s="11" t="str">
        <x:v>방어 시간만으로 보상 없음. 후방·방어 불가 공격은 정상 위험</x:v>
      </x:c>
      <x:c r="F16" s="7" t="str">
        <x:v>pending</x:v>
      </x:c>
    </x:row>
    <x:row r="17" ht="78" customHeight="1">
      <x:c r="A17" s="7" t="str">
        <x:v>effect_m3_zeu_ss_resonance</x:v>
      </x:c>
      <x:c r="B17" s="7" t="str">
        <x:v>resonance</x:v>
      </x:c>
      <x:c r="C17" s="7" t="str">
        <x:v>M3-ZEU-SS</x:v>
      </x:c>
      <x:c r="D17" s="11" t="str">
        <x:v>반격이 맞은 대상에 선고, 같은 실행의 끝에 낙뢰 한 번</x:v>
      </x:c>
      <x:c r="E17" s="11" t="str">
        <x:v>방어 시간만으로 보상 없음. 후방·방어 불가 공격은 정상 위험 / 하늘의 왕권의 창작 검방. 독수리 선형 장식</x:v>
      </x:c>
      <x:c r="F17" s="7" t="str">
        <x:v>pending</x:v>
      </x:c>
    </x:row>
    <x:row r="18" ht="78" customHeight="1">
      <x:c r="A18" s="7" t="str">
        <x:v>effect_m3_tho_hm_r_base</x:v>
      </x:c>
      <x:c r="B18" s="7" t="str">
        <x:v>base</x:v>
      </x:c>
      <x:c r="C18" s="7" t="str">
        <x:v>M3-THO-HM-R</x:v>
      </x:c>
      <x:c r="D18" s="11" t="str">
        <x:v>충전 특수행동을 망치 투척으로 전환, 최대 거리·장애물에서 회수. 왕복 별 실제 접촉 판정</x:v>
      </x:c>
      <x:c r="E18" s="11" t="str">
        <x:v>비행 중 일반·특수 재공격 불가. 귀환 완료 뒤 재개. 보스에도 왕복 별 상한 적용</x:v>
      </x:c>
      <x:c r="F18" s="7" t="str">
        <x:v>pending</x:v>
      </x:c>
    </x:row>
    <x:row r="19" ht="78" customHeight="1">
      <x:c r="A19" s="7" t="str">
        <x:v>effect_m3_tho_hm_r_resonance</x:v>
      </x:c>
      <x:c r="B19" s="7" t="str">
        <x:v>resonance</x:v>
      </x:c>
      <x:c r="C19" s="7" t="str">
        <x:v>M3-THO-HM-R</x:v>
      </x:c>
      <x:c r="D19" s="11" t="str">
        <x:v>유효 왕복 적중으로 귀환 보상 준비, 회수 후 다음 직접 근접 타격에 번개 충격</x:v>
      </x:c>
      <x:c r="E19" s="11" t="str">
        <x:v>비행 중 일반·특수 재공격 불가. 귀환 완료 뒤 재개. 보스에도 왕복 별 상한 적용 / 전승 무기. 짧은 자루·두꺼운 머리, 현대 작품 외형 복제 금지</x:v>
      </x:c>
      <x:c r="F19" s="7" t="str">
        <x:v>pending</x:v>
      </x:c>
    </x:row>
    <x:row r="20" ht="78" customHeight="1">
      <x:c r="A20" s="7" t="str">
        <x:v>effect_m3_tho_hm_i_base</x:v>
      </x:c>
      <x:c r="B20" s="7" t="str">
        <x:v>base</x:v>
      </x:c>
      <x:c r="C20" s="7" t="str">
        <x:v>M3-THO-HM-I</x:v>
      </x:c>
      <x:c r="D20" s="11" t="str">
        <x:v>일반 타격의 저장 충격을 충전 내려찍기로 소비</x:v>
      </x:c>
      <x:c r="E20" s="11" t="str">
        <x:v>거인·대형 여부로 무조건 즉사시키지 않음. 헛강타 비용 반환 없음</x:v>
      </x:c>
      <x:c r="F20" s="7" t="str">
        <x:v>pending</x:v>
      </x:c>
    </x:row>
    <x:row r="21" ht="78" customHeight="1">
      <x:c r="A21" s="7" t="str">
        <x:v>effect_m3_tho_hm_i_resonance</x:v>
      </x:c>
      <x:c r="B21" s="7" t="str">
        <x:v>resonance</x:v>
      </x:c>
      <x:c r="C21" s="7" t="str">
        <x:v>M3-THO-HM-I</x:v>
      </x:c>
      <x:c r="D21" s="11" t="str">
        <x:v>유효 강타 중심에 짧은 충격파, 다음 준비를 위한 타격 리듬 유지</x:v>
      </x:c>
      <x:c r="E21" s="11" t="str">
        <x:v>거인·대형 여부로 무조건 즉사시키지 않음. 헛강타 비용 반환 없음 / 거인과의 싸움에서 만든 창작명. 균열 각인·굵은 충격 고리</x:v>
      </x:c>
      <x:c r="F21" s="7" t="str">
        <x:v>pending</x:v>
      </x:c>
    </x:row>
    <x:row r="22" ht="78" customHeight="1">
      <x:c r="A22" s="7" t="str">
        <x:v>effect_m3_apo_sp_base</x:v>
      </x:c>
      <x:c r="B22" s="7" t="str">
        <x:v>base</x:v>
      </x:c>
      <x:c r="C22" s="7" t="str">
        <x:v>M3-APO-SP</x:v>
      </x:c>
      <x:c r="D22" s="11" t="str">
        <x:v>창끝 적중 후 다음 찌르기의 정밀 거리 보상을 준비</x:v>
      </x:c>
      <x:c r="E22" s="11" t="str">
        <x:v>예고는 자동 명중이 아님. 가까운 적은 기본 피해만, 보스도 거리 조건 동일</x:v>
      </x:c>
      <x:c r="F22" s="7" t="str">
        <x:v>pending</x:v>
      </x:c>
    </x:row>
    <x:row r="23" ht="78" customHeight="1">
      <x:c r="A23" s="7" t="str">
        <x:v>effect_m3_apo_sp_resonance</x:v>
      </x:c>
      <x:c r="B23" s="7" t="str">
        <x:v>resonance</x:v>
      </x:c>
      <x:c r="C23" s="7" t="str">
        <x:v>M3-APO-SP</x:v>
      </x:c>
      <x:c r="D23" s="11" t="str">
        <x:v>다음 찌르기의 거리 구간을 표시, 그 구간에 실제 적중하면 좁은 관통광</x:v>
      </x:c>
      <x:c r="E23" s="11" t="str">
        <x:v>예고는 자동 명중이 아님. 가까운 적은 기본 피해만, 보스도 거리 조건 동일 / 예언·델포이의 창작 창. 월계·길게 뻗은 얇은 날</x:v>
      </x:c>
      <x:c r="F23" s="7" t="str">
        <x:v>pending</x:v>
      </x:c>
    </x:row>
    <x:row r="24" ht="78" customHeight="1">
      <x:c r="A24" s="7" t="str">
        <x:v>effect_m3_apo_bw_base</x:v>
      </x:c>
      <x:c r="B24" s="7" t="str">
        <x:v>base</x:v>
      </x:c>
      <x:c r="C24" s="7" t="str">
        <x:v>M3-APO-BW</x:v>
      </x:c>
      <x:c r="D24" s="11" t="str">
        <x:v>같은 적의 직접 화살 적중으로 조준 보상 준비</x:v>
      </x:c>
      <x:c r="E24" s="11" t="str">
        <x:v>빗나가면 보상 상실, 탄창·재장전 유지. 보스에게 관통 중복 적중 없음</x:v>
      </x:c>
      <x:c r="F24" s="7" t="str">
        <x:v>pending</x:v>
      </x:c>
    </x:row>
    <x:row r="25" ht="78" customHeight="1">
      <x:c r="A25" s="7" t="str">
        <x:v>effect_m3_apo_bw_resonance</x:v>
      </x:c>
      <x:c r="B25" s="7" t="str">
        <x:v>resonance</x:v>
      </x:c>
      <x:c r="C25" s="7" t="str">
        <x:v>M3-APO-BW</x:v>
      </x:c>
      <x:c r="D25" s="11" t="str">
        <x:v>준비된 다음 화살이 표적에 맞으면 뒤쪽 직선 관통. 발사 시 소비</x:v>
      </x:c>
      <x:c r="E25" s="11" t="str">
        <x:v>빗나가면 보상 상실, 탄창·재장전 유지. 보스에게 관통 중복 적중 없음 / 퓌톤 처치·궁술, 창작명. 월계 문양·가느다란 현</x:v>
      </x:c>
      <x:c r="F25" s="7" t="str">
        <x:v>pending</x:v>
      </x:c>
    </x:row>
    <x:row r="26" ht="78" customHeight="1">
      <x:c r="A26" s="7" t="str">
        <x:v>effect_m3_apo_st_base</x:v>
      </x:c>
      <x:c r="B26" s="7" t="str">
        <x:v>base</x:v>
      </x:c>
      <x:c r="C26" s="7" t="str">
        <x:v>M3-APO-ST</x:v>
      </x:c>
      <x:c r="D26" s="11" t="str">
        <x:v>마력탄 적중 후 표시되는 다음 발사 구간에 발사하면 기본 준비탄 강화</x:v>
      </x:c>
      <x:c r="E26" s="11" t="str">
        <x:v>입력 유지도 발사 시점으로 판정. 박자 실패 시 연계만 초기화, 기본 사격 가능</x:v>
      </x:c>
      <x:c r="F26" s="7" t="str">
        <x:v>pending</x:v>
      </x:c>
    </x:row>
    <x:row r="27" ht="78" customHeight="1">
      <x:c r="A27" s="7" t="str">
        <x:v>effect_m3_apo_st_resonance</x:v>
      </x:c>
      <x:c r="B27" s="7" t="str">
        <x:v>resonance</x:v>
      </x:c>
      <x:c r="C27" s="7" t="str">
        <x:v>M3-APO-ST</x:v>
      </x:c>
      <x:c r="D27" s="11" t="str">
        <x:v>정해진 박자를 이어간 준비탄의 직접 적중에서 짧은 음파 추가</x:v>
      </x:c>
      <x:c r="E27" s="11" t="str">
        <x:v>입력 유지도 발사 시점으로 판정. 박자 실패 시 연계만 초기화, 기본 사격 가능 / 음악·리라의 창작 지팡이. 현 형태의 머리, 소리와 시각 예고 병행</x:v>
      </x:c>
      <x:c r="F27" s="7" t="str">
        <x:v>pending</x:v>
      </x:c>
    </x:row>
    <x:row r="28" ht="78" customHeight="1">
      <x:c r="A28" s="7" t="str">
        <x:v>effect_m3_are_sp_base</x:v>
      </x:c>
      <x:c r="B28" s="7" t="str">
        <x:v>base</x:v>
      </x:c>
      <x:c r="C28" s="7" t="str">
        <x:v>M3-ARE-SP</x:v>
      </x:c>
      <x:c r="D28" s="11" t="str">
        <x:v>같은 표적에 직접 찌르기를 이어 상처 축적</x:v>
      </x:c>
      <x:c r="E28" s="11" t="str">
        <x:v>대상 변경·상처 만료에 손해. 이동 자체는 피해가 아니고 자동 돌진 없음</x:v>
      </x:c>
      <x:c r="F28" s="7" t="str">
        <x:v>pending</x:v>
      </x:c>
    </x:row>
    <x:row r="29" ht="78" customHeight="1">
      <x:c r="A29" s="7" t="str">
        <x:v>effect_m3_are_sp_resonance</x:v>
      </x:c>
      <x:c r="B29" s="7" t="str">
        <x:v>resonance</x:v>
      </x:c>
      <x:c r="C29" s="7" t="str">
        <x:v>M3-ARE-SP</x:v>
      </x:c>
      <x:c r="D29" s="11" t="str">
        <x:v>연격 마지막 찌르기가 상처 결산, 해당 적을 계속 압박할 다음 준비 부여</x:v>
      </x:c>
      <x:c r="E29" s="11" t="str">
        <x:v>대상 변경·상처 만료에 손해. 이동 자체는 피해가 아니고 자동 돌진 없음 / 전장의 격렬함, 창작명. 전투 깃·붉은 홈</x:v>
      </x:c>
      <x:c r="F29" s="7" t="str">
        <x:v>pending</x:v>
      </x:c>
    </x:row>
    <x:row r="30" ht="78" customHeight="1">
      <x:c r="A30" s="7" t="str">
        <x:v>effect_m3_are_gs_base</x:v>
      </x:c>
      <x:c r="B30" s="7" t="str">
        <x:v>base</x:v>
      </x:c>
      <x:c r="C30" s="7" t="str">
        <x:v>M3-ARE-GS</x:v>
      </x:c>
      <x:c r="D30" s="11" t="str">
        <x:v>일반 베기로 표식, 기존 충전 회전으로 실제 닿은 대상의 표식 소비</x:v>
      </x:c>
      <x:c r="E30" s="11" t="str">
        <x:v>멀리 있는 표식은 소비하지 않음. 면역 보스는 결산 피해만, 공포 손실을 무제한 피해로 환급하지 않음</x:v>
      </x:c>
      <x:c r="F30" s="7" t="str">
        <x:v>pending</x:v>
      </x:c>
    </x:row>
    <x:row r="31" ht="78" customHeight="1">
      <x:c r="A31" s="7" t="str">
        <x:v>effect_m3_are_gs_resonance</x:v>
      </x:c>
      <x:c r="B31" s="7" t="str">
        <x:v>resonance</x:v>
      </x:c>
      <x:c r="C31" s="7" t="str">
        <x:v>M3-ARE-GS</x:v>
      </x:c>
      <x:c r="D31" s="11" t="str">
        <x:v>결산한 대상 주변 일반 적에게 짧은 공포. 공포 재부여 제한</x:v>
      </x:c>
      <x:c r="E31" s="11" t="str">
        <x:v>멀리 있는 표식은 소비하지 않음. 면역 보스는 결산 피해만, 공포 손실을 무제한 피해로 환급하지 않음 / 포보스의 동행, 창작명. 전면 가면형 가드</x:v>
      </x:c>
      <x:c r="F31" s="7" t="str">
        <x:v>pending</x:v>
      </x:c>
    </x:row>
    <x:row r="32" ht="78" customHeight="1">
      <x:c r="A32" s="7" t="str">
        <x:v>effect_m3_are_ss_base</x:v>
      </x:c>
      <x:c r="B32" s="7" t="str">
        <x:v>base</x:v>
      </x:c>
      <x:c r="C32" s="7" t="str">
        <x:v>M3-ARE-SS</x:v>
      </x:c>
      <x:c r="D32" s="11" t="str">
        <x:v>유효 방어 후 직접 반격으로 상처 부여</x:v>
      </x:c>
      <x:c r="E32" s="11" t="str">
        <x:v>공격 없는 적에는 일반 검 연격 마무리로 느린 결산 가능. 방어 불가 공격을 무시하지 않음</x:v>
      </x:c>
      <x:c r="F32" s="7" t="str">
        <x:v>pending</x:v>
      </x:c>
    </x:row>
    <x:row r="33" ht="78" customHeight="1">
      <x:c r="A33" s="7" t="str">
        <x:v>effect_m3_are_ss_resonance</x:v>
      </x:c>
      <x:c r="B33" s="7" t="str">
        <x:v>resonance</x:v>
      </x:c>
      <x:c r="C33" s="7" t="str">
        <x:v>M3-ARE-SS</x:v>
      </x:c>
      <x:c r="D33" s="11" t="str">
        <x:v>같은 적에게 방어·반격을 이어가면 상처 결산과 근거리 위압</x:v>
      </x:c>
      <x:c r="E33" s="11" t="str">
        <x:v>공격 없는 적에는 일반 검 연격 마무리로 느린 결산 가능. 방어 불가 공격을 무시하지 않음 / 데이모스, 창작명. 흠집 난 청동·뾰족한 방패 문양</x:v>
      </x:c>
      <x:c r="F33" s="7" t="str">
        <x:v>pending</x:v>
      </x:c>
    </x:row>
    <x:row r="34" ht="78" customHeight="1">
      <x:c r="A34" s="7" t="str">
        <x:v>effect_m3_had_gs_base</x:v>
      </x:c>
      <x:c r="B34" s="7" t="str">
        <x:v>base</x:v>
      </x:c>
      <x:c r="C34" s="7" t="str">
        <x:v>M3-HAD-GS</x:v>
      </x:c>
      <x:c r="D34" s="11" t="str">
        <x:v>일반 베기의 낙인을 회전 베기로 회수하여 다음 직접 공격 강화</x:v>
      </x:c>
      <x:c r="E34" s="11" t="str">
        <x:v>처치 없이도 낙인 회수 가능. 영역 출입 반복으로 중첩 무한 생성 금지, 이동/공격 면역 없음</x:v>
      </x:c>
      <x:c r="F34" s="7" t="str">
        <x:v>pending</x:v>
      </x:c>
    </x:row>
    <x:row r="35" ht="78" customHeight="1">
      <x:c r="A35" s="7" t="str">
        <x:v>effect_m3_had_gs_resonance</x:v>
      </x:c>
      <x:c r="B35" s="7" t="str">
        <x:v>resonance</x:v>
      </x:c>
      <x:c r="C35" s="7" t="str">
        <x:v>M3-HAD-GS</x:v>
      </x:c>
      <x:c r="D35" s="11" t="str">
        <x:v>회수에 성공하면 한정 시간 명계의 경계 영역 생성. 영역 밖으로 나갔다 재진입한 다음 직접 타격 강화</x:v>
      </x:c>
      <x:c r="E35" s="11" t="str">
        <x:v>처치 없이도 낙인 회수 가능. 영역 출입 반복으로 중첩 무한 생성 금지, 이동/공격 면역 없음 / 지하세계 경계의 창작 대검. 문짝 같은 검신·봉인선</x:v>
      </x:c>
      <x:c r="F35" s="7" t="str">
        <x:v>pending</x:v>
      </x:c>
    </x:row>
    <x:row r="36" ht="78" customHeight="1">
      <x:c r="A36" s="7" t="str">
        <x:v>effect_m3_had_dg_base</x:v>
      </x:c>
      <x:c r="B36" s="7" t="str">
        <x:v>base</x:v>
      </x:c>
      <x:c r="C36" s="7" t="str">
        <x:v>M3-HAD-DG</x:v>
      </x:c>
      <x:c r="D36" s="11" t="str">
        <x:v>지정 표적 직접 적중 후 이탈·재접근하면 후속 타격 강화</x:v>
      </x:c>
      <x:c r="E36" s="11" t="str">
        <x:v>기존 대시 무적 시간을 연장하지 않음. 날아오는 탄·장판은 정상 판정. 은폐 종료 시 적 재탐색</x:v>
      </x:c>
      <x:c r="F36" s="7" t="str">
        <x:v>pending</x:v>
      </x:c>
    </x:row>
    <x:row r="37" ht="78" customHeight="1">
      <x:c r="A37" s="7" t="str">
        <x:v>effect_m3_had_dg_resonance</x:v>
      </x:c>
      <x:c r="B37" s="7" t="str">
        <x:v>resonance</x:v>
      </x:c>
      <x:c r="C37" s="7" t="str">
        <x:v>M3-HAD-DG</x:v>
      </x:c>
      <x:c r="D37" s="11" t="str">
        <x:v>조건 충족 후 짧은 은폐 준비. 다음 일반 대시에 은폐를 소비하고 다음 공격 시작 시 해제</x:v>
      </x:c>
      <x:c r="E37" s="11" t="str">
        <x:v>기존 대시 무적 시간을 연장하지 않음. 날아오는 탄·장판은 정상 판정. 은폐 종료 시 적 재탐색 / 보이지 않게 하는 투구를 무기로 번안한 창작명. 먹빛 칼날·공명 시 윤곽 유지</x:v>
      </x:c>
      <x:c r="F37" s="7" t="str">
        <x:v>pending</x:v>
      </x:c>
    </x:row>
    <x:row r="38" ht="78" customHeight="1">
      <x:c r="A38" s="7" t="str">
        <x:v>effect_m3_art_sp_base</x:v>
      </x:c>
      <x:c r="B38" s="7" t="str">
        <x:v>base</x:v>
      </x:c>
      <x:c r="C38" s="7" t="str">
        <x:v>M3-ART-SP</x:v>
      </x:c>
      <x:c r="D38" s="11" t="str">
        <x:v>첫 적중으로 표적 지정, 거리를 다시 맞춘 창끝 타격 보상</x:v>
      </x:c>
      <x:c r="E38" s="11" t="str">
        <x:v>잔영은 실제 이동·벽 충돌·도달 거리 제한. 표적 사망 시 다른 적 자동 지정 없음</x:v>
      </x:c>
      <x:c r="F38" s="7" t="str">
        <x:v>pending</x:v>
      </x:c>
    </x:row>
    <x:row r="39" ht="78" customHeight="1">
      <x:c r="A39" s="7" t="str">
        <x:v>effect_m3_art_sp_resonance</x:v>
      </x:c>
      <x:c r="B39" s="7" t="str">
        <x:v>resonance</x:v>
      </x:c>
      <x:c r="C39" s="7" t="str">
        <x:v>M3-ART-SP</x:v>
      </x:c>
      <x:c r="D39" s="11" t="str">
        <x:v>정밀 재적중 뒤 표적까지 짧은 사냥개 잔영 돌진</x:v>
      </x:c>
      <x:c r="E39" s="11" t="str">
        <x:v>잔영은 실제 이동·벽 충돌·도달 거리 제한. 표적 사망 시 다른 적 자동 지정 없음 / 사냥개의 창작 창. 잎형 날·추적 매듭</x:v>
      </x:c>
      <x:c r="F39" s="7" t="str">
        <x:v>pending</x:v>
      </x:c>
    </x:row>
    <x:row r="40" ht="78" customHeight="1">
      <x:c r="A40" s="7" t="str">
        <x:v>effect_m3_art_dg_base</x:v>
      </x:c>
      <x:c r="B40" s="7" t="str">
        <x:v>base</x:v>
      </x:c>
      <x:c r="C40" s="7" t="str">
        <x:v>M3-ART-DG</x:v>
      </x:c>
      <x:c r="D40" s="11" t="str">
        <x:v>표적에서 이탈 후 다른 각도로 접근해 직접 타격 보상</x:v>
      </x:c>
      <x:c r="E40" s="11" t="str">
        <x:v>후방 판정 불가 보스에는 이탈 거리 조건으로 기본 보상 유지. 자동 순간이동 없음</x:v>
      </x:c>
      <x:c r="F40" s="7" t="str">
        <x:v>pending</x:v>
      </x:c>
    </x:row>
    <x:row r="41" ht="78" customHeight="1">
      <x:c r="A41" s="7" t="str">
        <x:v>effect_m3_art_dg_resonance</x:v>
      </x:c>
      <x:c r="B41" s="7" t="str">
        <x:v>resonance</x:v>
      </x:c>
      <x:c r="C41" s="7" t="str">
        <x:v>M3-ART-DG</x:v>
      </x:c>
      <x:c r="D41" s="11" t="str">
        <x:v>재접근 첫 적중이 사냥 마무리 준비, 다음 연격 마지막에 잔영 추가 타격</x:v>
      </x:c>
      <x:c r="E41" s="11" t="str">
        <x:v>후방 판정 불가 보스에는 이탈 거리 조건으로 기본 보상 유지. 자동 순간이동 없음 / 사냥 모티프의 창작 단검. 서로 다른 길이의 송곳니형 날</x:v>
      </x:c>
      <x:c r="F41" s="7" t="str">
        <x:v>pending</x:v>
      </x:c>
    </x:row>
    <x:row r="42" ht="78" customHeight="1">
      <x:c r="A42" s="7" t="str">
        <x:v>effect_m3_art_bw_base</x:v>
      </x:c>
      <x:c r="B42" s="7" t="str">
        <x:v>base</x:v>
      </x:c>
      <x:c r="C42" s="7" t="str">
        <x:v>M3-ART-BW</x:v>
      </x:c>
      <x:c r="D42" s="11" t="str">
        <x:v>직접 화살로 지정한 적에 집중 사격 보상</x:v>
      </x:c>
      <x:c r="E42" s="11" t="str">
        <x:v>분산 사격 시 준비 손해. 잔영은 자동 효과이며 화살 적중·장탄 수급으로 재집계하지 않음</x:v>
      </x:c>
      <x:c r="F42" s="7" t="str">
        <x:v>pending</x:v>
      </x:c>
    </x:row>
    <x:row r="43" ht="78" customHeight="1">
      <x:c r="A43" s="7" t="str">
        <x:v>effect_m3_art_bw_resonance</x:v>
      </x:c>
      <x:c r="B43" s="7" t="str">
        <x:v>resonance</x:v>
      </x:c>
      <x:c r="C43" s="7" t="str">
        <x:v>M3-ART-BW</x:v>
      </x:c>
      <x:c r="D43" s="11" t="str">
        <x:v>지정 적 연속 적중으로 다음 사냥개 잔영 공격 준비</x:v>
      </x:c>
      <x:c r="E43" s="11" t="str">
        <x:v>분산 사격 시 준비 손해. 잔영은 자동 효과이며 화살 적중·장탄 수급으로 재집계하지 않음 / 활과 사냥개, 창작명. 사냥 매듭·짧은 녹색 표식</x:v>
      </x:c>
      <x:c r="F43" s="7" t="str">
        <x:v>pending</x:v>
      </x:c>
    </x:row>
    <x:row r="44" ht="78" customHeight="1">
      <x:c r="A44" s="7" t="str">
        <x:v>effect_m3_ska_bw_base</x:v>
      </x:c>
      <x:c r="B44" s="7" t="str">
        <x:v>base</x:v>
      </x:c>
      <x:c r="C44" s="7" t="str">
        <x:v>M3-SKA-BW</x:v>
      </x:c>
      <x:c r="D44" s="11" t="str">
        <x:v>유효 이동 거리를 확보한 뒤 다음 화살 강화. 발사 시 준비 소비</x:v>
      </x:c>
      <x:c r="E44" s="11" t="str">
        <x:v>벽에 대고 이동 입력만 해서는 준비 안 됨. 둔화 면역 보스도 직접 파쇄 피해는 유지</x:v>
      </x:c>
      <x:c r="F44" s="7" t="str">
        <x:v>pending</x:v>
      </x:c>
    </x:row>
    <x:row r="45" ht="78" customHeight="1">
      <x:c r="A45" s="7" t="str">
        <x:v>effect_m3_ska_bw_resonance</x:v>
      </x:c>
      <x:c r="B45" s="7" t="str">
        <x:v>resonance</x:v>
      </x:c>
      <x:c r="C45" s="7" t="str">
        <x:v>M3-SKA-BW</x:v>
      </x:c>
      <x:c r="D45" s="11" t="str">
        <x:v>강화 화살 실제 적중점에 짧은 냉기 지대, 지대 밖 재배치 후 다음 강화탄이 내부 적에게 파쇄 피해</x:v>
      </x:c>
      <x:c r="E45" s="11" t="str">
        <x:v>벽에 대고 이동 입력만 해서는 준비 안 됨. 둔화 면역 보스도 직접 파쇄 피해는 유지 / 산악 스키 사냥의 창작 활. 길고 휜 활대·백색 흔적</x:v>
      </x:c>
      <x:c r="F45" s="7" t="str">
        <x:v>pending</x:v>
      </x:c>
    </x:row>
    <x:row r="46" ht="78" customHeight="1">
      <x:c r="A46" s="7" t="str">
        <x:v>effect_m3_ska_st_base</x:v>
      </x:c>
      <x:c r="B46" s="7" t="str">
        <x:v>base</x:v>
      </x:c>
      <x:c r="C46" s="7" t="str">
        <x:v>M3-SKA-ST</x:v>
      </x:c>
      <x:c r="D46" s="11" t="str">
        <x:v>적중 후 다음 준비탄 발사 기회 표시</x:v>
      </x:c>
      <x:c r="E46" s="11" t="str">
        <x:v>영역 수·동일 대상 주기 상한. 제자리 박자 사격은 기본 기능만, 무한 빙결 없음</x:v>
      </x:c>
      <x:c r="F46" s="7" t="str">
        <x:v>pending</x:v>
      </x:c>
    </x:row>
    <x:row r="47" ht="78" customHeight="1">
      <x:c r="A47" s="7" t="str">
        <x:v>effect_m3_ska_st_resonance</x:v>
      </x:c>
      <x:c r="B47" s="7" t="str">
        <x:v>resonance</x:v>
      </x:c>
      <x:c r="C47" s="7" t="str">
        <x:v>M3-SKA-ST</x:v>
      </x:c>
      <x:c r="D47" s="11" t="str">
        <x:v>그 사이 실제 이동을 충족한 준비탄이 적중 지점에 얇은 냉기 띠 생성</x:v>
      </x:c>
      <x:c r="E47" s="11" t="str">
        <x:v>영역 수·동일 대상 주기 상한. 제자리 박자 사격은 기본 기능만, 무한 빙결 없음 / 산악 거주·이동을 마법 무기로 각색. 스키 끝 같은 머리·옅은 바닥 선</x:v>
      </x:c>
      <x:c r="F47" s="7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6060049ea959481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</x:cols>
  <x:sheetData>
    <x:row r="1" ht="44" customHeight="1">
      <x:c r="A1" s="6" t="str">
        <x:v>upgrade_id</x:v>
      </x:c>
      <x:c r="B1" s="6" t="str">
        <x:v>effect_id</x:v>
      </x:c>
      <x:c r="C1" s="14" t="str">
        <x:v>order_index</x:v>
      </x:c>
      <x:c r="D1" s="6" t="str">
        <x:v>layer</x:v>
      </x:c>
      <x:c r="E1" s="6" t="str">
        <x:v>divinity_id</x:v>
      </x:c>
      <x:c r="F1" s="14" t="str">
        <x:v>min_divinity_stage</x:v>
      </x:c>
    </x:row>
    <x:row r="2" ht="28" customHeight="1">
      <x:c r="A2" s="7" t="str">
        <x:v>upgrade_m2_sp_line</x:v>
      </x:c>
      <x:c r="B2" s="7" t="str">
        <x:v>effect_m2_sp_line_base</x:v>
      </x:c>
      <x:c r="C2" s="15" t="n">
        <x:v>1</x:v>
      </x:c>
      <x:c r="D2" s="7" t="str">
        <x:v>base</x:v>
      </x:c>
      <x:c r="E2" s="7"/>
      <x:c r="F2" s="15"/>
    </x:row>
    <x:row r="3" ht="28" customHeight="1">
      <x:c r="A3" s="7" t="str">
        <x:v>upgrade_m2_sp_pursuit</x:v>
      </x:c>
      <x:c r="B3" s="7" t="str">
        <x:v>effect_m2_sp_pursuit_base</x:v>
      </x:c>
      <x:c r="C3" s="15" t="n">
        <x:v>1</x:v>
      </x:c>
      <x:c r="D3" s="7" t="str">
        <x:v>base</x:v>
      </x:c>
      <x:c r="E3" s="7"/>
      <x:c r="F3" s="15"/>
    </x:row>
    <x:row r="4" ht="28" customHeight="1">
      <x:c r="A4" s="7" t="str">
        <x:v>upgrade_m2_hm_return</x:v>
      </x:c>
      <x:c r="B4" s="7" t="str">
        <x:v>effect_m2_hm_return_base</x:v>
      </x:c>
      <x:c r="C4" s="15" t="n">
        <x:v>1</x:v>
      </x:c>
      <x:c r="D4" s="7" t="str">
        <x:v>base</x:v>
      </x:c>
      <x:c r="E4" s="7"/>
      <x:c r="F4" s="15"/>
    </x:row>
    <x:row r="5" ht="28" customHeight="1">
      <x:c r="A5" s="7" t="str">
        <x:v>upgrade_m2_hm_impact</x:v>
      </x:c>
      <x:c r="B5" s="7" t="str">
        <x:v>effect_m2_hm_impact_base</x:v>
      </x:c>
      <x:c r="C5" s="15" t="n">
        <x:v>1</x:v>
      </x:c>
      <x:c r="D5" s="7" t="str">
        <x:v>base</x:v>
      </x:c>
      <x:c r="E5" s="7"/>
      <x:c r="F5" s="15"/>
    </x:row>
    <x:row r="6" ht="28" customHeight="1">
      <x:c r="A6" s="7" t="str">
        <x:v>upgrade_m2_gs_seal</x:v>
      </x:c>
      <x:c r="B6" s="7" t="str">
        <x:v>effect_m2_gs_seal_base</x:v>
      </x:c>
      <x:c r="C6" s="15" t="n">
        <x:v>1</x:v>
      </x:c>
      <x:c r="D6" s="7" t="str">
        <x:v>base</x:v>
      </x:c>
      <x:c r="E6" s="7"/>
      <x:c r="F6" s="15"/>
    </x:row>
    <x:row r="7" ht="28" customHeight="1">
      <x:c r="A7" s="7" t="str">
        <x:v>upgrade_m2_dg_stalk</x:v>
      </x:c>
      <x:c r="B7" s="7" t="str">
        <x:v>effect_m2_dg_stalk_base</x:v>
      </x:c>
      <x:c r="C7" s="15" t="n">
        <x:v>1</x:v>
      </x:c>
      <x:c r="D7" s="7" t="str">
        <x:v>base</x:v>
      </x:c>
      <x:c r="E7" s="7"/>
      <x:c r="F7" s="15"/>
    </x:row>
    <x:row r="8" ht="28" customHeight="1">
      <x:c r="A8" s="7" t="str">
        <x:v>upgrade_m2_ss_counter</x:v>
      </x:c>
      <x:c r="B8" s="7" t="str">
        <x:v>effect_m2_ss_counter_base</x:v>
      </x:c>
      <x:c r="C8" s="15" t="n">
        <x:v>1</x:v>
      </x:c>
      <x:c r="D8" s="7" t="str">
        <x:v>base</x:v>
      </x:c>
      <x:c r="E8" s="7"/>
      <x:c r="F8" s="15"/>
    </x:row>
    <x:row r="9" ht="28" customHeight="1">
      <x:c r="A9" s="7" t="str">
        <x:v>upgrade_m2_bw_aim</x:v>
      </x:c>
      <x:c r="B9" s="7" t="str">
        <x:v>effect_m2_bw_aim_base</x:v>
      </x:c>
      <x:c r="C9" s="15" t="n">
        <x:v>1</x:v>
      </x:c>
      <x:c r="D9" s="7" t="str">
        <x:v>base</x:v>
      </x:c>
      <x:c r="E9" s="7"/>
      <x:c r="F9" s="15"/>
    </x:row>
    <x:row r="10" ht="28" customHeight="1">
      <x:c r="A10" s="7" t="str">
        <x:v>upgrade_m2_bw_move</x:v>
      </x:c>
      <x:c r="B10" s="7" t="str">
        <x:v>effect_m2_bw_move_base</x:v>
      </x:c>
      <x:c r="C10" s="15" t="n">
        <x:v>1</x:v>
      </x:c>
      <x:c r="D10" s="7" t="str">
        <x:v>base</x:v>
      </x:c>
      <x:c r="E10" s="7"/>
      <x:c r="F10" s="15"/>
    </x:row>
    <x:row r="11" ht="28" customHeight="1">
      <x:c r="A11" s="7" t="str">
        <x:v>upgrade_m2_st_cadence</x:v>
      </x:c>
      <x:c r="B11" s="7" t="str">
        <x:v>effect_m2_st_cadence_base</x:v>
      </x:c>
      <x:c r="C11" s="15" t="n">
        <x:v>1</x:v>
      </x:c>
      <x:c r="D11" s="7" t="str">
        <x:v>base</x:v>
      </x:c>
      <x:c r="E11" s="7"/>
      <x:c r="F11" s="15"/>
    </x:row>
    <x:row r="12" ht="28" customHeight="1">
      <x:c r="A12" s="7" t="str">
        <x:v>upgrade_m3_zeu_sp</x:v>
      </x:c>
      <x:c r="B12" s="7" t="str">
        <x:v>effect_m3_zeu_sp_base</x:v>
      </x:c>
      <x:c r="C12" s="15" t="n">
        <x:v>1</x:v>
      </x:c>
      <x:c r="D12" s="7" t="str">
        <x:v>base</x:v>
      </x:c>
      <x:c r="E12" s="7"/>
      <x:c r="F12" s="15"/>
    </x:row>
    <x:row r="13" ht="28" customHeight="1">
      <x:c r="A13" s="7" t="str">
        <x:v>upgrade_m3_zeu_sp</x:v>
      </x:c>
      <x:c r="B13" s="7" t="str">
        <x:v>effect_m3_zeu_sp_resonance</x:v>
      </x:c>
      <x:c r="C13" s="15" t="n">
        <x:v>2</x:v>
      </x:c>
      <x:c r="D13" s="7" t="str">
        <x:v>resonance</x:v>
      </x:c>
      <x:c r="E13" s="7" t="str">
        <x:v>divinity_zeus</x:v>
      </x:c>
      <x:c r="F13" s="15" t="n">
        <x:v>1</x:v>
      </x:c>
    </x:row>
    <x:row r="14" ht="28" customHeight="1">
      <x:c r="A14" s="7" t="str">
        <x:v>upgrade_m3_zeu_hm</x:v>
      </x:c>
      <x:c r="B14" s="7" t="str">
        <x:v>effect_m3_zeu_hm_base</x:v>
      </x:c>
      <x:c r="C14" s="15" t="n">
        <x:v>1</x:v>
      </x:c>
      <x:c r="D14" s="7" t="str">
        <x:v>base</x:v>
      </x:c>
      <x:c r="E14" s="7"/>
      <x:c r="F14" s="15"/>
    </x:row>
    <x:row r="15" ht="28" customHeight="1">
      <x:c r="A15" s="7" t="str">
        <x:v>upgrade_m3_zeu_hm</x:v>
      </x:c>
      <x:c r="B15" s="7" t="str">
        <x:v>effect_m3_zeu_hm_resonance</x:v>
      </x:c>
      <x:c r="C15" s="15" t="n">
        <x:v>2</x:v>
      </x:c>
      <x:c r="D15" s="7" t="str">
        <x:v>resonance</x:v>
      </x:c>
      <x:c r="E15" s="7" t="str">
        <x:v>divinity_zeus</x:v>
      </x:c>
      <x:c r="F15" s="15" t="n">
        <x:v>1</x:v>
      </x:c>
    </x:row>
    <x:row r="16" ht="28" customHeight="1">
      <x:c r="A16" s="7" t="str">
        <x:v>upgrade_m3_zeu_ss</x:v>
      </x:c>
      <x:c r="B16" s="7" t="str">
        <x:v>effect_m3_zeu_ss_base</x:v>
      </x:c>
      <x:c r="C16" s="15" t="n">
        <x:v>1</x:v>
      </x:c>
      <x:c r="D16" s="7" t="str">
        <x:v>base</x:v>
      </x:c>
      <x:c r="E16" s="7"/>
      <x:c r="F16" s="15"/>
    </x:row>
    <x:row r="17" ht="28" customHeight="1">
      <x:c r="A17" s="7" t="str">
        <x:v>upgrade_m3_zeu_ss</x:v>
      </x:c>
      <x:c r="B17" s="7" t="str">
        <x:v>effect_m3_zeu_ss_resonance</x:v>
      </x:c>
      <x:c r="C17" s="15" t="n">
        <x:v>2</x:v>
      </x:c>
      <x:c r="D17" s="7" t="str">
        <x:v>resonance</x:v>
      </x:c>
      <x:c r="E17" s="7" t="str">
        <x:v>divinity_zeus</x:v>
      </x:c>
      <x:c r="F17" s="15" t="n">
        <x:v>1</x:v>
      </x:c>
    </x:row>
    <x:row r="18" ht="28" customHeight="1">
      <x:c r="A18" s="7" t="str">
        <x:v>upgrade_m3_tho_hm_r</x:v>
      </x:c>
      <x:c r="B18" s="7" t="str">
        <x:v>effect_m3_tho_hm_r_base</x:v>
      </x:c>
      <x:c r="C18" s="15" t="n">
        <x:v>1</x:v>
      </x:c>
      <x:c r="D18" s="7" t="str">
        <x:v>base</x:v>
      </x:c>
      <x:c r="E18" s="7"/>
      <x:c r="F18" s="15"/>
    </x:row>
    <x:row r="19" ht="28" customHeight="1">
      <x:c r="A19" s="7" t="str">
        <x:v>upgrade_m3_tho_hm_r</x:v>
      </x:c>
      <x:c r="B19" s="7" t="str">
        <x:v>effect_m3_tho_hm_r_resonance</x:v>
      </x:c>
      <x:c r="C19" s="15" t="n">
        <x:v>2</x:v>
      </x:c>
      <x:c r="D19" s="7" t="str">
        <x:v>resonance</x:v>
      </x:c>
      <x:c r="E19" s="7" t="str">
        <x:v>divinity_thor</x:v>
      </x:c>
      <x:c r="F19" s="15" t="n">
        <x:v>1</x:v>
      </x:c>
    </x:row>
    <x:row r="20" ht="28" customHeight="1">
      <x:c r="A20" s="7" t="str">
        <x:v>upgrade_m3_tho_hm_i</x:v>
      </x:c>
      <x:c r="B20" s="7" t="str">
        <x:v>effect_m3_tho_hm_i_base</x:v>
      </x:c>
      <x:c r="C20" s="15" t="n">
        <x:v>1</x:v>
      </x:c>
      <x:c r="D20" s="7" t="str">
        <x:v>base</x:v>
      </x:c>
      <x:c r="E20" s="7"/>
      <x:c r="F20" s="15"/>
    </x:row>
    <x:row r="21" ht="28" customHeight="1">
      <x:c r="A21" s="7" t="str">
        <x:v>upgrade_m3_tho_hm_i</x:v>
      </x:c>
      <x:c r="B21" s="7" t="str">
        <x:v>effect_m3_tho_hm_i_resonance</x:v>
      </x:c>
      <x:c r="C21" s="15" t="n">
        <x:v>2</x:v>
      </x:c>
      <x:c r="D21" s="7" t="str">
        <x:v>resonance</x:v>
      </x:c>
      <x:c r="E21" s="7" t="str">
        <x:v>divinity_thor</x:v>
      </x:c>
      <x:c r="F21" s="15" t="n">
        <x:v>1</x:v>
      </x:c>
    </x:row>
    <x:row r="22" ht="28" customHeight="1">
      <x:c r="A22" s="7" t="str">
        <x:v>upgrade_m3_apo_sp</x:v>
      </x:c>
      <x:c r="B22" s="7" t="str">
        <x:v>effect_m3_apo_sp_base</x:v>
      </x:c>
      <x:c r="C22" s="15" t="n">
        <x:v>1</x:v>
      </x:c>
      <x:c r="D22" s="7" t="str">
        <x:v>base</x:v>
      </x:c>
      <x:c r="E22" s="7"/>
      <x:c r="F22" s="15"/>
    </x:row>
    <x:row r="23" ht="28" customHeight="1">
      <x:c r="A23" s="7" t="str">
        <x:v>upgrade_m3_apo_sp</x:v>
      </x:c>
      <x:c r="B23" s="7" t="str">
        <x:v>effect_m3_apo_sp_resonance</x:v>
      </x:c>
      <x:c r="C23" s="15" t="n">
        <x:v>2</x:v>
      </x:c>
      <x:c r="D23" s="7" t="str">
        <x:v>resonance</x:v>
      </x:c>
      <x:c r="E23" s="7" t="str">
        <x:v>divinity_apollo</x:v>
      </x:c>
      <x:c r="F23" s="15" t="n">
        <x:v>1</x:v>
      </x:c>
    </x:row>
    <x:row r="24" ht="28" customHeight="1">
      <x:c r="A24" s="7" t="str">
        <x:v>upgrade_m3_apo_bw</x:v>
      </x:c>
      <x:c r="B24" s="7" t="str">
        <x:v>effect_m3_apo_bw_base</x:v>
      </x:c>
      <x:c r="C24" s="15" t="n">
        <x:v>1</x:v>
      </x:c>
      <x:c r="D24" s="7" t="str">
        <x:v>base</x:v>
      </x:c>
      <x:c r="E24" s="7"/>
      <x:c r="F24" s="15"/>
    </x:row>
    <x:row r="25" ht="28" customHeight="1">
      <x:c r="A25" s="7" t="str">
        <x:v>upgrade_m3_apo_bw</x:v>
      </x:c>
      <x:c r="B25" s="7" t="str">
        <x:v>effect_m3_apo_bw_resonance</x:v>
      </x:c>
      <x:c r="C25" s="15" t="n">
        <x:v>2</x:v>
      </x:c>
      <x:c r="D25" s="7" t="str">
        <x:v>resonance</x:v>
      </x:c>
      <x:c r="E25" s="7" t="str">
        <x:v>divinity_apollo</x:v>
      </x:c>
      <x:c r="F25" s="15" t="n">
        <x:v>1</x:v>
      </x:c>
    </x:row>
    <x:row r="26" ht="28" customHeight="1">
      <x:c r="A26" s="7" t="str">
        <x:v>upgrade_m3_apo_st</x:v>
      </x:c>
      <x:c r="B26" s="7" t="str">
        <x:v>effect_m3_apo_st_base</x:v>
      </x:c>
      <x:c r="C26" s="15" t="n">
        <x:v>1</x:v>
      </x:c>
      <x:c r="D26" s="7" t="str">
        <x:v>base</x:v>
      </x:c>
      <x:c r="E26" s="7"/>
      <x:c r="F26" s="15"/>
    </x:row>
    <x:row r="27" ht="28" customHeight="1">
      <x:c r="A27" s="7" t="str">
        <x:v>upgrade_m3_apo_st</x:v>
      </x:c>
      <x:c r="B27" s="7" t="str">
        <x:v>effect_m3_apo_st_resonance</x:v>
      </x:c>
      <x:c r="C27" s="15" t="n">
        <x:v>2</x:v>
      </x:c>
      <x:c r="D27" s="7" t="str">
        <x:v>resonance</x:v>
      </x:c>
      <x:c r="E27" s="7" t="str">
        <x:v>divinity_apollo</x:v>
      </x:c>
      <x:c r="F27" s="15" t="n">
        <x:v>1</x:v>
      </x:c>
    </x:row>
    <x:row r="28" ht="28" customHeight="1">
      <x:c r="A28" s="7" t="str">
        <x:v>upgrade_m3_are_sp</x:v>
      </x:c>
      <x:c r="B28" s="7" t="str">
        <x:v>effect_m3_are_sp_base</x:v>
      </x:c>
      <x:c r="C28" s="15" t="n">
        <x:v>1</x:v>
      </x:c>
      <x:c r="D28" s="7" t="str">
        <x:v>base</x:v>
      </x:c>
      <x:c r="E28" s="7"/>
      <x:c r="F28" s="15"/>
    </x:row>
    <x:row r="29" ht="28" customHeight="1">
      <x:c r="A29" s="7" t="str">
        <x:v>upgrade_m3_are_sp</x:v>
      </x:c>
      <x:c r="B29" s="7" t="str">
        <x:v>effect_m3_are_sp_resonance</x:v>
      </x:c>
      <x:c r="C29" s="15" t="n">
        <x:v>2</x:v>
      </x:c>
      <x:c r="D29" s="7" t="str">
        <x:v>resonance</x:v>
      </x:c>
      <x:c r="E29" s="7" t="str">
        <x:v>divinity_ares</x:v>
      </x:c>
      <x:c r="F29" s="15" t="n">
        <x:v>1</x:v>
      </x:c>
    </x:row>
    <x:row r="30" ht="28" customHeight="1">
      <x:c r="A30" s="7" t="str">
        <x:v>upgrade_m3_are_gs</x:v>
      </x:c>
      <x:c r="B30" s="7" t="str">
        <x:v>effect_m3_are_gs_base</x:v>
      </x:c>
      <x:c r="C30" s="15" t="n">
        <x:v>1</x:v>
      </x:c>
      <x:c r="D30" s="7" t="str">
        <x:v>base</x:v>
      </x:c>
      <x:c r="E30" s="7"/>
      <x:c r="F30" s="15"/>
    </x:row>
    <x:row r="31" ht="28" customHeight="1">
      <x:c r="A31" s="7" t="str">
        <x:v>upgrade_m3_are_gs</x:v>
      </x:c>
      <x:c r="B31" s="7" t="str">
        <x:v>effect_m3_are_gs_resonance</x:v>
      </x:c>
      <x:c r="C31" s="15" t="n">
        <x:v>2</x:v>
      </x:c>
      <x:c r="D31" s="7" t="str">
        <x:v>resonance</x:v>
      </x:c>
      <x:c r="E31" s="7" t="str">
        <x:v>divinity_ares</x:v>
      </x:c>
      <x:c r="F31" s="15" t="n">
        <x:v>1</x:v>
      </x:c>
    </x:row>
    <x:row r="32" ht="28" customHeight="1">
      <x:c r="A32" s="7" t="str">
        <x:v>upgrade_m3_are_ss</x:v>
      </x:c>
      <x:c r="B32" s="7" t="str">
        <x:v>effect_m3_are_ss_base</x:v>
      </x:c>
      <x:c r="C32" s="15" t="n">
        <x:v>1</x:v>
      </x:c>
      <x:c r="D32" s="7" t="str">
        <x:v>base</x:v>
      </x:c>
      <x:c r="E32" s="7"/>
      <x:c r="F32" s="15"/>
    </x:row>
    <x:row r="33" ht="28" customHeight="1">
      <x:c r="A33" s="7" t="str">
        <x:v>upgrade_m3_are_ss</x:v>
      </x:c>
      <x:c r="B33" s="7" t="str">
        <x:v>effect_m3_are_ss_resonance</x:v>
      </x:c>
      <x:c r="C33" s="15" t="n">
        <x:v>2</x:v>
      </x:c>
      <x:c r="D33" s="7" t="str">
        <x:v>resonance</x:v>
      </x:c>
      <x:c r="E33" s="7" t="str">
        <x:v>divinity_ares</x:v>
      </x:c>
      <x:c r="F33" s="15" t="n">
        <x:v>1</x:v>
      </x:c>
    </x:row>
    <x:row r="34" ht="28" customHeight="1">
      <x:c r="A34" s="7" t="str">
        <x:v>upgrade_m3_had_gs</x:v>
      </x:c>
      <x:c r="B34" s="7" t="str">
        <x:v>effect_m3_had_gs_base</x:v>
      </x:c>
      <x:c r="C34" s="15" t="n">
        <x:v>1</x:v>
      </x:c>
      <x:c r="D34" s="7" t="str">
        <x:v>base</x:v>
      </x:c>
      <x:c r="E34" s="7"/>
      <x:c r="F34" s="15"/>
    </x:row>
    <x:row r="35" ht="28" customHeight="1">
      <x:c r="A35" s="7" t="str">
        <x:v>upgrade_m3_had_gs</x:v>
      </x:c>
      <x:c r="B35" s="7" t="str">
        <x:v>effect_m3_had_gs_resonance</x:v>
      </x:c>
      <x:c r="C35" s="15" t="n">
        <x:v>2</x:v>
      </x:c>
      <x:c r="D35" s="7" t="str">
        <x:v>resonance</x:v>
      </x:c>
      <x:c r="E35" s="7" t="str">
        <x:v>divinity_hades</x:v>
      </x:c>
      <x:c r="F35" s="15" t="n">
        <x:v>1</x:v>
      </x:c>
    </x:row>
    <x:row r="36" ht="28" customHeight="1">
      <x:c r="A36" s="7" t="str">
        <x:v>upgrade_m3_had_dg</x:v>
      </x:c>
      <x:c r="B36" s="7" t="str">
        <x:v>effect_m3_had_dg_base</x:v>
      </x:c>
      <x:c r="C36" s="15" t="n">
        <x:v>1</x:v>
      </x:c>
      <x:c r="D36" s="7" t="str">
        <x:v>base</x:v>
      </x:c>
      <x:c r="E36" s="7"/>
      <x:c r="F36" s="15"/>
    </x:row>
    <x:row r="37" ht="28" customHeight="1">
      <x:c r="A37" s="7" t="str">
        <x:v>upgrade_m3_had_dg</x:v>
      </x:c>
      <x:c r="B37" s="7" t="str">
        <x:v>effect_m3_had_dg_resonance</x:v>
      </x:c>
      <x:c r="C37" s="15" t="n">
        <x:v>2</x:v>
      </x:c>
      <x:c r="D37" s="7" t="str">
        <x:v>resonance</x:v>
      </x:c>
      <x:c r="E37" s="7" t="str">
        <x:v>divinity_hades</x:v>
      </x:c>
      <x:c r="F37" s="15" t="n">
        <x:v>1</x:v>
      </x:c>
    </x:row>
    <x:row r="38" ht="28" customHeight="1">
      <x:c r="A38" s="7" t="str">
        <x:v>upgrade_m3_art_sp</x:v>
      </x:c>
      <x:c r="B38" s="7" t="str">
        <x:v>effect_m3_art_sp_base</x:v>
      </x:c>
      <x:c r="C38" s="15" t="n">
        <x:v>1</x:v>
      </x:c>
      <x:c r="D38" s="7" t="str">
        <x:v>base</x:v>
      </x:c>
      <x:c r="E38" s="7"/>
      <x:c r="F38" s="15"/>
    </x:row>
    <x:row r="39" ht="28" customHeight="1">
      <x:c r="A39" s="7" t="str">
        <x:v>upgrade_m3_art_sp</x:v>
      </x:c>
      <x:c r="B39" s="7" t="str">
        <x:v>effect_m3_art_sp_resonance</x:v>
      </x:c>
      <x:c r="C39" s="15" t="n">
        <x:v>2</x:v>
      </x:c>
      <x:c r="D39" s="7" t="str">
        <x:v>resonance</x:v>
      </x:c>
      <x:c r="E39" s="7" t="str">
        <x:v>divinity_artemis</x:v>
      </x:c>
      <x:c r="F39" s="15" t="n">
        <x:v>1</x:v>
      </x:c>
    </x:row>
    <x:row r="40" ht="28" customHeight="1">
      <x:c r="A40" s="7" t="str">
        <x:v>upgrade_m3_art_dg</x:v>
      </x:c>
      <x:c r="B40" s="7" t="str">
        <x:v>effect_m3_art_dg_base</x:v>
      </x:c>
      <x:c r="C40" s="15" t="n">
        <x:v>1</x:v>
      </x:c>
      <x:c r="D40" s="7" t="str">
        <x:v>base</x:v>
      </x:c>
      <x:c r="E40" s="7"/>
      <x:c r="F40" s="15"/>
    </x:row>
    <x:row r="41" ht="28" customHeight="1">
      <x:c r="A41" s="7" t="str">
        <x:v>upgrade_m3_art_dg</x:v>
      </x:c>
      <x:c r="B41" s="7" t="str">
        <x:v>effect_m3_art_dg_resonance</x:v>
      </x:c>
      <x:c r="C41" s="15" t="n">
        <x:v>2</x:v>
      </x:c>
      <x:c r="D41" s="7" t="str">
        <x:v>resonance</x:v>
      </x:c>
      <x:c r="E41" s="7" t="str">
        <x:v>divinity_artemis</x:v>
      </x:c>
      <x:c r="F41" s="15" t="n">
        <x:v>1</x:v>
      </x:c>
    </x:row>
    <x:row r="42" ht="28" customHeight="1">
      <x:c r="A42" s="7" t="str">
        <x:v>upgrade_m3_art_bw</x:v>
      </x:c>
      <x:c r="B42" s="7" t="str">
        <x:v>effect_m3_art_bw_base</x:v>
      </x:c>
      <x:c r="C42" s="15" t="n">
        <x:v>1</x:v>
      </x:c>
      <x:c r="D42" s="7" t="str">
        <x:v>base</x:v>
      </x:c>
      <x:c r="E42" s="7"/>
      <x:c r="F42" s="15"/>
    </x:row>
    <x:row r="43" ht="28" customHeight="1">
      <x:c r="A43" s="7" t="str">
        <x:v>upgrade_m3_art_bw</x:v>
      </x:c>
      <x:c r="B43" s="7" t="str">
        <x:v>effect_m3_art_bw_resonance</x:v>
      </x:c>
      <x:c r="C43" s="15" t="n">
        <x:v>2</x:v>
      </x:c>
      <x:c r="D43" s="7" t="str">
        <x:v>resonance</x:v>
      </x:c>
      <x:c r="E43" s="7" t="str">
        <x:v>divinity_artemis</x:v>
      </x:c>
      <x:c r="F43" s="15" t="n">
        <x:v>1</x:v>
      </x:c>
    </x:row>
    <x:row r="44" ht="28" customHeight="1">
      <x:c r="A44" s="7" t="str">
        <x:v>upgrade_m3_ska_bw</x:v>
      </x:c>
      <x:c r="B44" s="7" t="str">
        <x:v>effect_m3_ska_bw_base</x:v>
      </x:c>
      <x:c r="C44" s="15" t="n">
        <x:v>1</x:v>
      </x:c>
      <x:c r="D44" s="7" t="str">
        <x:v>base</x:v>
      </x:c>
      <x:c r="E44" s="7"/>
      <x:c r="F44" s="15"/>
    </x:row>
    <x:row r="45" ht="28" customHeight="1">
      <x:c r="A45" s="7" t="str">
        <x:v>upgrade_m3_ska_bw</x:v>
      </x:c>
      <x:c r="B45" s="7" t="str">
        <x:v>effect_m3_ska_bw_resonance</x:v>
      </x:c>
      <x:c r="C45" s="15" t="n">
        <x:v>2</x:v>
      </x:c>
      <x:c r="D45" s="7" t="str">
        <x:v>resonance</x:v>
      </x:c>
      <x:c r="E45" s="7" t="str">
        <x:v>divinity_skadi</x:v>
      </x:c>
      <x:c r="F45" s="15" t="n">
        <x:v>1</x:v>
      </x:c>
    </x:row>
    <x:row r="46" ht="28" customHeight="1">
      <x:c r="A46" s="7" t="str">
        <x:v>upgrade_m3_ska_st</x:v>
      </x:c>
      <x:c r="B46" s="7" t="str">
        <x:v>effect_m3_ska_st_base</x:v>
      </x:c>
      <x:c r="C46" s="15" t="n">
        <x:v>1</x:v>
      </x:c>
      <x:c r="D46" s="7" t="str">
        <x:v>base</x:v>
      </x:c>
      <x:c r="E46" s="7"/>
      <x:c r="F46" s="15"/>
    </x:row>
    <x:row r="47" ht="28" customHeight="1">
      <x:c r="A47" s="7" t="str">
        <x:v>upgrade_m3_ska_st</x:v>
      </x:c>
      <x:c r="B47" s="7" t="str">
        <x:v>effect_m3_ska_st_resonance</x:v>
      </x:c>
      <x:c r="C47" s="15" t="n">
        <x:v>2</x:v>
      </x:c>
      <x:c r="D47" s="7" t="str">
        <x:v>resonance</x:v>
      </x:c>
      <x:c r="E47" s="7" t="str">
        <x:v>divinity_skadi</x:v>
      </x:c>
      <x:c r="F47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01a58466b5744c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4" customHeight="1">
      <x:c r="A1" s="6" t="str">
        <x:v>owner_table</x:v>
      </x:c>
      <x:c r="B1" s="6" t="str">
        <x:v>owner_id</x:v>
      </x:c>
      <x:c r="C1" s="6" t="str">
        <x:v>parameter_id</x:v>
      </x:c>
      <x:c r="D1" s="12" t="str">
        <x:v>number_value</x:v>
      </x:c>
      <x:c r="E1" s="6" t="str">
        <x:v>value_status</x:v>
      </x:c>
      <x:c r="F1" s="6" t="str">
        <x:v>value_basis</x:v>
      </x:c>
    </x:row>
    <x:row r="2" ht="28" customHeight="1">
      <x:c r="A2" s="7" t="str">
        <x:v>Effect</x:v>
      </x:c>
      <x:c r="B2" s="7" t="str">
        <x:v>effect_m2_sp_line_base</x:v>
      </x:c>
      <x:c r="C2" s="7" t="str">
        <x:v>duration_sec</x:v>
      </x:c>
      <x:c r="D2" s="18"/>
      <x:c r="E2" s="7" t="str">
        <x:v>pending</x:v>
      </x:c>
      <x:c r="F2" s="7" t="str">
        <x:v>balance_pending</x:v>
      </x:c>
    </x:row>
    <x:row r="3" ht="28" customHeight="1">
      <x:c r="A3" s="7" t="str">
        <x:v>Effect</x:v>
      </x:c>
      <x:c r="B3" s="7" t="str">
        <x:v>effect_m2_sp_line_base</x:v>
      </x:c>
      <x:c r="C3" s="7" t="str">
        <x:v>damage_coefficient_ratio</x:v>
      </x:c>
      <x:c r="D3" s="18"/>
      <x:c r="E3" s="7" t="str">
        <x:v>pending</x:v>
      </x:c>
      <x:c r="F3" s="7" t="str">
        <x:v>balance_pending</x:v>
      </x:c>
    </x:row>
    <x:row r="4" ht="28" customHeight="1">
      <x:c r="A4" s="7" t="str">
        <x:v>Upgrade</x:v>
      </x:c>
      <x:c r="B4" s="7" t="str">
        <x:v>upgrade_m2_sp_line</x:v>
      </x:c>
      <x:c r="C4" s="7" t="str">
        <x:v>cost_amount</x:v>
      </x:c>
      <x:c r="D4" s="18"/>
      <x:c r="E4" s="7" t="str">
        <x:v>pending</x:v>
      </x:c>
      <x:c r="F4" s="7" t="str">
        <x:v>balance_pending</x:v>
      </x:c>
    </x:row>
    <x:row r="5" ht="28" customHeight="1">
      <x:c r="A5" s="7" t="str">
        <x:v>Effect</x:v>
      </x:c>
      <x:c r="B5" s="7" t="str">
        <x:v>effect_m2_sp_pursuit_base</x:v>
      </x:c>
      <x:c r="C5" s="7" t="str">
        <x:v>duration_sec</x:v>
      </x:c>
      <x:c r="D5" s="18"/>
      <x:c r="E5" s="7" t="str">
        <x:v>pending</x:v>
      </x:c>
      <x:c r="F5" s="7" t="str">
        <x:v>balance_pending</x:v>
      </x:c>
    </x:row>
    <x:row r="6" ht="28" customHeight="1">
      <x:c r="A6" s="7" t="str">
        <x:v>Effect</x:v>
      </x:c>
      <x:c r="B6" s="7" t="str">
        <x:v>effect_m2_sp_pursuit_base</x:v>
      </x:c>
      <x:c r="C6" s="7" t="str">
        <x:v>damage_coefficient_ratio</x:v>
      </x:c>
      <x:c r="D6" s="18"/>
      <x:c r="E6" s="7" t="str">
        <x:v>pending</x:v>
      </x:c>
      <x:c r="F6" s="7" t="str">
        <x:v>balance_pending</x:v>
      </x:c>
    </x:row>
    <x:row r="7" ht="28" customHeight="1">
      <x:c r="A7" s="7" t="str">
        <x:v>Upgrade</x:v>
      </x:c>
      <x:c r="B7" s="7" t="str">
        <x:v>upgrade_m2_sp_pursuit</x:v>
      </x:c>
      <x:c r="C7" s="7" t="str">
        <x:v>cost_amount</x:v>
      </x:c>
      <x:c r="D7" s="18"/>
      <x:c r="E7" s="7" t="str">
        <x:v>pending</x:v>
      </x:c>
      <x:c r="F7" s="7" t="str">
        <x:v>balance_pending</x:v>
      </x:c>
    </x:row>
    <x:row r="8" ht="28" customHeight="1">
      <x:c r="A8" s="7" t="str">
        <x:v>Effect</x:v>
      </x:c>
      <x:c r="B8" s="7" t="str">
        <x:v>effect_m2_hm_return_base</x:v>
      </x:c>
      <x:c r="C8" s="7" t="str">
        <x:v>range_units</x:v>
      </x:c>
      <x:c r="D8" s="18"/>
      <x:c r="E8" s="7" t="str">
        <x:v>pending</x:v>
      </x:c>
      <x:c r="F8" s="7" t="str">
        <x:v>balance_pending</x:v>
      </x:c>
    </x:row>
    <x:row r="9" ht="28" customHeight="1">
      <x:c r="A9" s="7" t="str">
        <x:v>Effect</x:v>
      </x:c>
      <x:c r="B9" s="7" t="str">
        <x:v>effect_m2_hm_return_base</x:v>
      </x:c>
      <x:c r="C9" s="7" t="str">
        <x:v>projectile_speed_units_per_sec</x:v>
      </x:c>
      <x:c r="D9" s="18"/>
      <x:c r="E9" s="7" t="str">
        <x:v>pending</x:v>
      </x:c>
      <x:c r="F9" s="7" t="str">
        <x:v>balance_pending</x:v>
      </x:c>
    </x:row>
    <x:row r="10" ht="28" customHeight="1">
      <x:c r="A10" s="7" t="str">
        <x:v>Effect</x:v>
      </x:c>
      <x:c r="B10" s="7" t="str">
        <x:v>effect_m2_hm_return_base</x:v>
      </x:c>
      <x:c r="C10" s="7" t="str">
        <x:v>return_timeout_sec</x:v>
      </x:c>
      <x:c r="D10" s="18"/>
      <x:c r="E10" s="7" t="str">
        <x:v>pending</x:v>
      </x:c>
      <x:c r="F10" s="7" t="str">
        <x:v>balance_pending</x:v>
      </x:c>
    </x:row>
    <x:row r="11" ht="28" customHeight="1">
      <x:c r="A11" s="7" t="str">
        <x:v>Effect</x:v>
      </x:c>
      <x:c r="B11" s="7" t="str">
        <x:v>effect_m2_hm_return_base</x:v>
      </x:c>
      <x:c r="C11" s="7" t="str">
        <x:v>max_hits_per_leg_count</x:v>
      </x:c>
      <x:c r="D11" s="18"/>
      <x:c r="E11" s="7" t="str">
        <x:v>pending</x:v>
      </x:c>
      <x:c r="F11" s="7" t="str">
        <x:v>balance_pending</x:v>
      </x:c>
    </x:row>
    <x:row r="12" ht="28" customHeight="1">
      <x:c r="A12" s="7" t="str">
        <x:v>Upgrade</x:v>
      </x:c>
      <x:c r="B12" s="7" t="str">
        <x:v>upgrade_m2_hm_return</x:v>
      </x:c>
      <x:c r="C12" s="7" t="str">
        <x:v>cost_amount</x:v>
      </x:c>
      <x:c r="D12" s="18"/>
      <x:c r="E12" s="7" t="str">
        <x:v>pending</x:v>
      </x:c>
      <x:c r="F12" s="7" t="str">
        <x:v>balance_pending</x:v>
      </x:c>
    </x:row>
    <x:row r="13" ht="28" customHeight="1">
      <x:c r="A13" s="7" t="str">
        <x:v>Effect</x:v>
      </x:c>
      <x:c r="B13" s="7" t="str">
        <x:v>effect_m2_hm_impact_base</x:v>
      </x:c>
      <x:c r="C13" s="7" t="str">
        <x:v>duration_sec</x:v>
      </x:c>
      <x:c r="D13" s="18"/>
      <x:c r="E13" s="7" t="str">
        <x:v>pending</x:v>
      </x:c>
      <x:c r="F13" s="7" t="str">
        <x:v>balance_pending</x:v>
      </x:c>
    </x:row>
    <x:row r="14" ht="28" customHeight="1">
      <x:c r="A14" s="7" t="str">
        <x:v>Effect</x:v>
      </x:c>
      <x:c r="B14" s="7" t="str">
        <x:v>effect_m2_hm_impact_base</x:v>
      </x:c>
      <x:c r="C14" s="7" t="str">
        <x:v>damage_coefficient_ratio</x:v>
      </x:c>
      <x:c r="D14" s="18"/>
      <x:c r="E14" s="7" t="str">
        <x:v>pending</x:v>
      </x:c>
      <x:c r="F14" s="7" t="str">
        <x:v>balance_pending</x:v>
      </x:c>
    </x:row>
    <x:row r="15" ht="28" customHeight="1">
      <x:c r="A15" s="7" t="str">
        <x:v>Upgrade</x:v>
      </x:c>
      <x:c r="B15" s="7" t="str">
        <x:v>upgrade_m2_hm_impact</x:v>
      </x:c>
      <x:c r="C15" s="7" t="str">
        <x:v>cost_amount</x:v>
      </x:c>
      <x:c r="D15" s="18"/>
      <x:c r="E15" s="7" t="str">
        <x:v>pending</x:v>
      </x:c>
      <x:c r="F15" s="7" t="str">
        <x:v>balance_pending</x:v>
      </x:c>
    </x:row>
    <x:row r="16" ht="28" customHeight="1">
      <x:c r="A16" s="7" t="str">
        <x:v>Effect</x:v>
      </x:c>
      <x:c r="B16" s="7" t="str">
        <x:v>effect_m2_gs_seal_base</x:v>
      </x:c>
      <x:c r="C16" s="7" t="str">
        <x:v>duration_sec</x:v>
      </x:c>
      <x:c r="D16" s="18"/>
      <x:c r="E16" s="7" t="str">
        <x:v>pending</x:v>
      </x:c>
      <x:c r="F16" s="7" t="str">
        <x:v>balance_pending</x:v>
      </x:c>
    </x:row>
    <x:row r="17" ht="28" customHeight="1">
      <x:c r="A17" s="7" t="str">
        <x:v>Effect</x:v>
      </x:c>
      <x:c r="B17" s="7" t="str">
        <x:v>effect_m2_gs_seal_base</x:v>
      </x:c>
      <x:c r="C17" s="7" t="str">
        <x:v>damage_coefficient_ratio</x:v>
      </x:c>
      <x:c r="D17" s="18"/>
      <x:c r="E17" s="7" t="str">
        <x:v>pending</x:v>
      </x:c>
      <x:c r="F17" s="7" t="str">
        <x:v>balance_pending</x:v>
      </x:c>
    </x:row>
    <x:row r="18" ht="28" customHeight="1">
      <x:c r="A18" s="7" t="str">
        <x:v>Upgrade</x:v>
      </x:c>
      <x:c r="B18" s="7" t="str">
        <x:v>upgrade_m2_gs_seal</x:v>
      </x:c>
      <x:c r="C18" s="7" t="str">
        <x:v>cost_amount</x:v>
      </x:c>
      <x:c r="D18" s="18"/>
      <x:c r="E18" s="7" t="str">
        <x:v>pending</x:v>
      </x:c>
      <x:c r="F18" s="7" t="str">
        <x:v>balance_pending</x:v>
      </x:c>
    </x:row>
    <x:row r="19" ht="28" customHeight="1">
      <x:c r="A19" s="7" t="str">
        <x:v>Effect</x:v>
      </x:c>
      <x:c r="B19" s="7" t="str">
        <x:v>effect_m2_dg_stalk_base</x:v>
      </x:c>
      <x:c r="C19" s="7" t="str">
        <x:v>move_distance_units</x:v>
      </x:c>
      <x:c r="D19" s="18"/>
      <x:c r="E19" s="7" t="str">
        <x:v>pending</x:v>
      </x:c>
      <x:c r="F19" s="7" t="str">
        <x:v>balance_pending</x:v>
      </x:c>
    </x:row>
    <x:row r="20" ht="28" customHeight="1">
      <x:c r="A20" s="7" t="str">
        <x:v>Effect</x:v>
      </x:c>
      <x:c r="B20" s="7" t="str">
        <x:v>effect_m2_dg_stalk_base</x:v>
      </x:c>
      <x:c r="C20" s="7" t="str">
        <x:v>duration_sec</x:v>
      </x:c>
      <x:c r="D20" s="18"/>
      <x:c r="E20" s="7" t="str">
        <x:v>pending</x:v>
      </x:c>
      <x:c r="F20" s="7" t="str">
        <x:v>balance_pending</x:v>
      </x:c>
    </x:row>
    <x:row r="21" ht="28" customHeight="1">
      <x:c r="A21" s="7" t="str">
        <x:v>Effect</x:v>
      </x:c>
      <x:c r="B21" s="7" t="str">
        <x:v>effect_m2_dg_stalk_base</x:v>
      </x:c>
      <x:c r="C21" s="7" t="str">
        <x:v>damage_coefficient_ratio</x:v>
      </x:c>
      <x:c r="D21" s="18"/>
      <x:c r="E21" s="7" t="str">
        <x:v>pending</x:v>
      </x:c>
      <x:c r="F21" s="7" t="str">
        <x:v>balance_pending</x:v>
      </x:c>
    </x:row>
    <x:row r="22" ht="28" customHeight="1">
      <x:c r="A22" s="7" t="str">
        <x:v>Upgrade</x:v>
      </x:c>
      <x:c r="B22" s="7" t="str">
        <x:v>upgrade_m2_dg_stalk</x:v>
      </x:c>
      <x:c r="C22" s="7" t="str">
        <x:v>cost_amount</x:v>
      </x:c>
      <x:c r="D22" s="18"/>
      <x:c r="E22" s="7" t="str">
        <x:v>pending</x:v>
      </x:c>
      <x:c r="F22" s="7" t="str">
        <x:v>balance_pending</x:v>
      </x:c>
    </x:row>
    <x:row r="23" ht="28" customHeight="1">
      <x:c r="A23" s="7" t="str">
        <x:v>Effect</x:v>
      </x:c>
      <x:c r="B23" s="7" t="str">
        <x:v>effect_m2_ss_counter_base</x:v>
      </x:c>
      <x:c r="C23" s="7" t="str">
        <x:v>duration_sec</x:v>
      </x:c>
      <x:c r="D23" s="18"/>
      <x:c r="E23" s="7" t="str">
        <x:v>pending</x:v>
      </x:c>
      <x:c r="F23" s="7" t="str">
        <x:v>balance_pending</x:v>
      </x:c>
    </x:row>
    <x:row r="24" ht="28" customHeight="1">
      <x:c r="A24" s="7" t="str">
        <x:v>Effect</x:v>
      </x:c>
      <x:c r="B24" s="7" t="str">
        <x:v>effect_m2_ss_counter_base</x:v>
      </x:c>
      <x:c r="C24" s="7" t="str">
        <x:v>damage_coefficient_ratio</x:v>
      </x:c>
      <x:c r="D24" s="18"/>
      <x:c r="E24" s="7" t="str">
        <x:v>pending</x:v>
      </x:c>
      <x:c r="F24" s="7" t="str">
        <x:v>balance_pending</x:v>
      </x:c>
    </x:row>
    <x:row r="25" ht="28" customHeight="1">
      <x:c r="A25" s="7" t="str">
        <x:v>Upgrade</x:v>
      </x:c>
      <x:c r="B25" s="7" t="str">
        <x:v>upgrade_m2_ss_counter</x:v>
      </x:c>
      <x:c r="C25" s="7" t="str">
        <x:v>cost_amount</x:v>
      </x:c>
      <x:c r="D25" s="18"/>
      <x:c r="E25" s="7" t="str">
        <x:v>pending</x:v>
      </x:c>
      <x:c r="F25" s="7" t="str">
        <x:v>balance_pending</x:v>
      </x:c>
    </x:row>
    <x:row r="26" ht="28" customHeight="1">
      <x:c r="A26" s="7" t="str">
        <x:v>Effect</x:v>
      </x:c>
      <x:c r="B26" s="7" t="str">
        <x:v>effect_m2_bw_aim_base</x:v>
      </x:c>
      <x:c r="C26" s="7" t="str">
        <x:v>duration_sec</x:v>
      </x:c>
      <x:c r="D26" s="18"/>
      <x:c r="E26" s="7" t="str">
        <x:v>pending</x:v>
      </x:c>
      <x:c r="F26" s="7" t="str">
        <x:v>balance_pending</x:v>
      </x:c>
    </x:row>
    <x:row r="27" ht="28" customHeight="1">
      <x:c r="A27" s="7" t="str">
        <x:v>Effect</x:v>
      </x:c>
      <x:c r="B27" s="7" t="str">
        <x:v>effect_m2_bw_aim_base</x:v>
      </x:c>
      <x:c r="C27" s="7" t="str">
        <x:v>damage_coefficient_ratio</x:v>
      </x:c>
      <x:c r="D27" s="18"/>
      <x:c r="E27" s="7" t="str">
        <x:v>pending</x:v>
      </x:c>
      <x:c r="F27" s="7" t="str">
        <x:v>balance_pending</x:v>
      </x:c>
    </x:row>
    <x:row r="28" ht="28" customHeight="1">
      <x:c r="A28" s="7" t="str">
        <x:v>Upgrade</x:v>
      </x:c>
      <x:c r="B28" s="7" t="str">
        <x:v>upgrade_m2_bw_aim</x:v>
      </x:c>
      <x:c r="C28" s="7" t="str">
        <x:v>cost_amount</x:v>
      </x:c>
      <x:c r="D28" s="18"/>
      <x:c r="E28" s="7" t="str">
        <x:v>pending</x:v>
      </x:c>
      <x:c r="F28" s="7" t="str">
        <x:v>balance_pending</x:v>
      </x:c>
    </x:row>
    <x:row r="29" ht="28" customHeight="1">
      <x:c r="A29" s="7" t="str">
        <x:v>Effect</x:v>
      </x:c>
      <x:c r="B29" s="7" t="str">
        <x:v>effect_m2_bw_move_base</x:v>
      </x:c>
      <x:c r="C29" s="7" t="str">
        <x:v>move_distance_units</x:v>
      </x:c>
      <x:c r="D29" s="18"/>
      <x:c r="E29" s="7" t="str">
        <x:v>pending</x:v>
      </x:c>
      <x:c r="F29" s="7" t="str">
        <x:v>balance_pending</x:v>
      </x:c>
    </x:row>
    <x:row r="30" ht="28" customHeight="1">
      <x:c r="A30" s="7" t="str">
        <x:v>Effect</x:v>
      </x:c>
      <x:c r="B30" s="7" t="str">
        <x:v>effect_m2_bw_move_base</x:v>
      </x:c>
      <x:c r="C30" s="7" t="str">
        <x:v>damage_coefficient_ratio</x:v>
      </x:c>
      <x:c r="D30" s="18"/>
      <x:c r="E30" s="7" t="str">
        <x:v>pending</x:v>
      </x:c>
      <x:c r="F30" s="7" t="str">
        <x:v>balance_pending</x:v>
      </x:c>
    </x:row>
    <x:row r="31" ht="28" customHeight="1">
      <x:c r="A31" s="7" t="str">
        <x:v>Upgrade</x:v>
      </x:c>
      <x:c r="B31" s="7" t="str">
        <x:v>upgrade_m2_bw_move</x:v>
      </x:c>
      <x:c r="C31" s="7" t="str">
        <x:v>cost_amount</x:v>
      </x:c>
      <x:c r="D31" s="18"/>
      <x:c r="E31" s="7" t="str">
        <x:v>pending</x:v>
      </x:c>
      <x:c r="F31" s="7" t="str">
        <x:v>balance_pending</x:v>
      </x:c>
    </x:row>
    <x:row r="32" ht="28" customHeight="1">
      <x:c r="A32" s="7" t="str">
        <x:v>Effect</x:v>
      </x:c>
      <x:c r="B32" s="7" t="str">
        <x:v>effect_m2_st_cadence_base</x:v>
      </x:c>
      <x:c r="C32" s="7" t="str">
        <x:v>timing_window_sec</x:v>
      </x:c>
      <x:c r="D32" s="18"/>
      <x:c r="E32" s="7" t="str">
        <x:v>pending</x:v>
      </x:c>
      <x:c r="F32" s="7" t="str">
        <x:v>balance_pending</x:v>
      </x:c>
    </x:row>
    <x:row r="33" ht="28" customHeight="1">
      <x:c r="A33" s="7" t="str">
        <x:v>Effect</x:v>
      </x:c>
      <x:c r="B33" s="7" t="str">
        <x:v>effect_m2_st_cadence_base</x:v>
      </x:c>
      <x:c r="C33" s="7" t="str">
        <x:v>damage_coefficient_ratio</x:v>
      </x:c>
      <x:c r="D33" s="18"/>
      <x:c r="E33" s="7" t="str">
        <x:v>pending</x:v>
      </x:c>
      <x:c r="F33" s="7" t="str">
        <x:v>balance_pending</x:v>
      </x:c>
    </x:row>
    <x:row r="34" ht="28" customHeight="1">
      <x:c r="A34" s="7" t="str">
        <x:v>Upgrade</x:v>
      </x:c>
      <x:c r="B34" s="7" t="str">
        <x:v>upgrade_m2_st_cadence</x:v>
      </x:c>
      <x:c r="C34" s="7" t="str">
        <x:v>cost_amount</x:v>
      </x:c>
      <x:c r="D34" s="18"/>
      <x:c r="E34" s="7" t="str">
        <x:v>pending</x:v>
      </x:c>
      <x:c r="F34" s="7" t="str">
        <x:v>balance_pending</x:v>
      </x:c>
    </x:row>
    <x:row r="35" ht="28" customHeight="1">
      <x:c r="A35" s="7" t="str">
        <x:v>Effect</x:v>
      </x:c>
      <x:c r="B35" s="7" t="str">
        <x:v>effect_m3_zeu_sp_base</x:v>
      </x:c>
      <x:c r="C35" s="7" t="str">
        <x:v>duration_sec</x:v>
      </x:c>
      <x:c r="D35" s="18"/>
      <x:c r="E35" s="7" t="str">
        <x:v>pending</x:v>
      </x:c>
      <x:c r="F35" s="7" t="str">
        <x:v>balance_pending</x:v>
      </x:c>
    </x:row>
    <x:row r="36" ht="28" customHeight="1">
      <x:c r="A36" s="7" t="str">
        <x:v>Effect</x:v>
      </x:c>
      <x:c r="B36" s="7" t="str">
        <x:v>effect_m3_zeu_sp_base</x:v>
      </x:c>
      <x:c r="C36" s="7" t="str">
        <x:v>damage_coefficient_ratio</x:v>
      </x:c>
      <x:c r="D36" s="18"/>
      <x:c r="E36" s="7" t="str">
        <x:v>pending</x:v>
      </x:c>
      <x:c r="F36" s="7" t="str">
        <x:v>balance_pending</x:v>
      </x:c>
    </x:row>
    <x:row r="37" ht="28" customHeight="1">
      <x:c r="A37" s="7" t="str">
        <x:v>Effect</x:v>
      </x:c>
      <x:c r="B37" s="7" t="str">
        <x:v>effect_m3_zeu_sp_resonance</x:v>
      </x:c>
      <x:c r="C37" s="7" t="str">
        <x:v>delay_sec</x:v>
      </x:c>
      <x:c r="D37" s="18"/>
      <x:c r="E37" s="7" t="str">
        <x:v>pending</x:v>
      </x:c>
      <x:c r="F37" s="7" t="str">
        <x:v>balance_pending</x:v>
      </x:c>
    </x:row>
    <x:row r="38" ht="28" customHeight="1">
      <x:c r="A38" s="7" t="str">
        <x:v>Effect</x:v>
      </x:c>
      <x:c r="B38" s="7" t="str">
        <x:v>effect_m3_zeu_sp_resonance</x:v>
      </x:c>
      <x:c r="C38" s="7" t="str">
        <x:v>damage_coefficient_ratio</x:v>
      </x:c>
      <x:c r="D38" s="18"/>
      <x:c r="E38" s="7" t="str">
        <x:v>pending</x:v>
      </x:c>
      <x:c r="F38" s="7" t="str">
        <x:v>balance_pending</x:v>
      </x:c>
    </x:row>
    <x:row r="39" ht="28" customHeight="1">
      <x:c r="A39" s="7" t="str">
        <x:v>Effect</x:v>
      </x:c>
      <x:c r="B39" s="7" t="str">
        <x:v>effect_m3_zeu_sp_resonance</x:v>
      </x:c>
      <x:c r="C39" s="7" t="str">
        <x:v>max_target_count</x:v>
      </x:c>
      <x:c r="D39" s="18"/>
      <x:c r="E39" s="7" t="str">
        <x:v>pending</x:v>
      </x:c>
      <x:c r="F39" s="7" t="str">
        <x:v>balance_pending</x:v>
      </x:c>
    </x:row>
    <x:row r="40" ht="28" customHeight="1">
      <x:c r="A40" s="7" t="str">
        <x:v>Upgrade</x:v>
      </x:c>
      <x:c r="B40" s="7" t="str">
        <x:v>upgrade_m3_zeu_sp</x:v>
      </x:c>
      <x:c r="C40" s="7" t="str">
        <x:v>cost_amount</x:v>
      </x:c>
      <x:c r="D40" s="18"/>
      <x:c r="E40" s="7" t="str">
        <x:v>pending</x:v>
      </x:c>
      <x:c r="F40" s="7" t="str">
        <x:v>balance_pending</x:v>
      </x:c>
    </x:row>
    <x:row r="41" ht="28" customHeight="1">
      <x:c r="A41" s="7" t="str">
        <x:v>Effect</x:v>
      </x:c>
      <x:c r="B41" s="7" t="str">
        <x:v>effect_m3_zeu_hm_base</x:v>
      </x:c>
      <x:c r="C41" s="7" t="str">
        <x:v>duration_sec</x:v>
      </x:c>
      <x:c r="D41" s="18"/>
      <x:c r="E41" s="7" t="str">
        <x:v>pending</x:v>
      </x:c>
      <x:c r="F41" s="7" t="str">
        <x:v>balance_pending</x:v>
      </x:c>
    </x:row>
    <x:row r="42" ht="28" customHeight="1">
      <x:c r="A42" s="7" t="str">
        <x:v>Effect</x:v>
      </x:c>
      <x:c r="B42" s="7" t="str">
        <x:v>effect_m3_zeu_hm_base</x:v>
      </x:c>
      <x:c r="C42" s="7" t="str">
        <x:v>damage_coefficient_ratio</x:v>
      </x:c>
      <x:c r="D42" s="18"/>
      <x:c r="E42" s="7" t="str">
        <x:v>pending</x:v>
      </x:c>
      <x:c r="F42" s="7" t="str">
        <x:v>balance_pending</x:v>
      </x:c>
    </x:row>
    <x:row r="43" ht="28" customHeight="1">
      <x:c r="A43" s="7" t="str">
        <x:v>Effect</x:v>
      </x:c>
      <x:c r="B43" s="7" t="str">
        <x:v>effect_m3_zeu_hm_resonance</x:v>
      </x:c>
      <x:c r="C43" s="7" t="str">
        <x:v>delay_sec</x:v>
      </x:c>
      <x:c r="D43" s="18"/>
      <x:c r="E43" s="7" t="str">
        <x:v>pending</x:v>
      </x:c>
      <x:c r="F43" s="7" t="str">
        <x:v>balance_pending</x:v>
      </x:c>
    </x:row>
    <x:row r="44" ht="28" customHeight="1">
      <x:c r="A44" s="7" t="str">
        <x:v>Effect</x:v>
      </x:c>
      <x:c r="B44" s="7" t="str">
        <x:v>effect_m3_zeu_hm_resonance</x:v>
      </x:c>
      <x:c r="C44" s="7" t="str">
        <x:v>damage_coefficient_ratio</x:v>
      </x:c>
      <x:c r="D44" s="18"/>
      <x:c r="E44" s="7" t="str">
        <x:v>pending</x:v>
      </x:c>
      <x:c r="F44" s="7" t="str">
        <x:v>balance_pending</x:v>
      </x:c>
    </x:row>
    <x:row r="45" ht="28" customHeight="1">
      <x:c r="A45" s="7" t="str">
        <x:v>Upgrade</x:v>
      </x:c>
      <x:c r="B45" s="7" t="str">
        <x:v>upgrade_m3_zeu_hm</x:v>
      </x:c>
      <x:c r="C45" s="7" t="str">
        <x:v>cost_amount</x:v>
      </x:c>
      <x:c r="D45" s="18"/>
      <x:c r="E45" s="7" t="str">
        <x:v>pending</x:v>
      </x:c>
      <x:c r="F45" s="7" t="str">
        <x:v>balance_pending</x:v>
      </x:c>
    </x:row>
    <x:row r="46" ht="28" customHeight="1">
      <x:c r="A46" s="7" t="str">
        <x:v>Effect</x:v>
      </x:c>
      <x:c r="B46" s="7" t="str">
        <x:v>effect_m3_zeu_ss_base</x:v>
      </x:c>
      <x:c r="C46" s="7" t="str">
        <x:v>duration_sec</x:v>
      </x:c>
      <x:c r="D46" s="18"/>
      <x:c r="E46" s="7" t="str">
        <x:v>pending</x:v>
      </x:c>
      <x:c r="F46" s="7" t="str">
        <x:v>balance_pending</x:v>
      </x:c>
    </x:row>
    <x:row r="47" ht="28" customHeight="1">
      <x:c r="A47" s="7" t="str">
        <x:v>Effect</x:v>
      </x:c>
      <x:c r="B47" s="7" t="str">
        <x:v>effect_m3_zeu_ss_base</x:v>
      </x:c>
      <x:c r="C47" s="7" t="str">
        <x:v>damage_coefficient_ratio</x:v>
      </x:c>
      <x:c r="D47" s="18"/>
      <x:c r="E47" s="7" t="str">
        <x:v>pending</x:v>
      </x:c>
      <x:c r="F47" s="7" t="str">
        <x:v>balance_pending</x:v>
      </x:c>
    </x:row>
    <x:row r="48" ht="28" customHeight="1">
      <x:c r="A48" s="7" t="str">
        <x:v>Effect</x:v>
      </x:c>
      <x:c r="B48" s="7" t="str">
        <x:v>effect_m3_zeu_ss_resonance</x:v>
      </x:c>
      <x:c r="C48" s="7" t="str">
        <x:v>delay_sec</x:v>
      </x:c>
      <x:c r="D48" s="18"/>
      <x:c r="E48" s="7" t="str">
        <x:v>pending</x:v>
      </x:c>
      <x:c r="F48" s="7" t="str">
        <x:v>balance_pending</x:v>
      </x:c>
    </x:row>
    <x:row r="49" ht="28" customHeight="1">
      <x:c r="A49" s="7" t="str">
        <x:v>Effect</x:v>
      </x:c>
      <x:c r="B49" s="7" t="str">
        <x:v>effect_m3_zeu_ss_resonance</x:v>
      </x:c>
      <x:c r="C49" s="7" t="str">
        <x:v>damage_coefficient_ratio</x:v>
      </x:c>
      <x:c r="D49" s="18"/>
      <x:c r="E49" s="7" t="str">
        <x:v>pending</x:v>
      </x:c>
      <x:c r="F49" s="7" t="str">
        <x:v>balance_pending</x:v>
      </x:c>
    </x:row>
    <x:row r="50" ht="28" customHeight="1">
      <x:c r="A50" s="7" t="str">
        <x:v>Upgrade</x:v>
      </x:c>
      <x:c r="B50" s="7" t="str">
        <x:v>upgrade_m3_zeu_ss</x:v>
      </x:c>
      <x:c r="C50" s="7" t="str">
        <x:v>cost_amount</x:v>
      </x:c>
      <x:c r="D50" s="18"/>
      <x:c r="E50" s="7" t="str">
        <x:v>pending</x:v>
      </x:c>
      <x:c r="F50" s="7" t="str">
        <x:v>balance_pending</x:v>
      </x:c>
    </x:row>
    <x:row r="51" ht="28" customHeight="1">
      <x:c r="A51" s="7" t="str">
        <x:v>Effect</x:v>
      </x:c>
      <x:c r="B51" s="7" t="str">
        <x:v>effect_m3_tho_hm_r_base</x:v>
      </x:c>
      <x:c r="C51" s="7" t="str">
        <x:v>range_units</x:v>
      </x:c>
      <x:c r="D51" s="18"/>
      <x:c r="E51" s="7" t="str">
        <x:v>pending</x:v>
      </x:c>
      <x:c r="F51" s="7" t="str">
        <x:v>balance_pending</x:v>
      </x:c>
    </x:row>
    <x:row r="52" ht="28" customHeight="1">
      <x:c r="A52" s="7" t="str">
        <x:v>Effect</x:v>
      </x:c>
      <x:c r="B52" s="7" t="str">
        <x:v>effect_m3_tho_hm_r_base</x:v>
      </x:c>
      <x:c r="C52" s="7" t="str">
        <x:v>projectile_speed_units_per_sec</x:v>
      </x:c>
      <x:c r="D52" s="18"/>
      <x:c r="E52" s="7" t="str">
        <x:v>pending</x:v>
      </x:c>
      <x:c r="F52" s="7" t="str">
        <x:v>balance_pending</x:v>
      </x:c>
    </x:row>
    <x:row r="53" ht="28" customHeight="1">
      <x:c r="A53" s="7" t="str">
        <x:v>Effect</x:v>
      </x:c>
      <x:c r="B53" s="7" t="str">
        <x:v>effect_m3_tho_hm_r_base</x:v>
      </x:c>
      <x:c r="C53" s="7" t="str">
        <x:v>return_timeout_sec</x:v>
      </x:c>
      <x:c r="D53" s="18"/>
      <x:c r="E53" s="7" t="str">
        <x:v>pending</x:v>
      </x:c>
      <x:c r="F53" s="7" t="str">
        <x:v>balance_pending</x:v>
      </x:c>
    </x:row>
    <x:row r="54" ht="28" customHeight="1">
      <x:c r="A54" s="7" t="str">
        <x:v>Effect</x:v>
      </x:c>
      <x:c r="B54" s="7" t="str">
        <x:v>effect_m3_tho_hm_r_base</x:v>
      </x:c>
      <x:c r="C54" s="7" t="str">
        <x:v>max_hits_per_leg_count</x:v>
      </x:c>
      <x:c r="D54" s="18"/>
      <x:c r="E54" s="7" t="str">
        <x:v>pending</x:v>
      </x:c>
      <x:c r="F54" s="7" t="str">
        <x:v>balance_pending</x:v>
      </x:c>
    </x:row>
    <x:row r="55" ht="28" customHeight="1">
      <x:c r="A55" s="7" t="str">
        <x:v>Effect</x:v>
      </x:c>
      <x:c r="B55" s="7" t="str">
        <x:v>effect_m3_tho_hm_r_resonance</x:v>
      </x:c>
      <x:c r="C55" s="7" t="str">
        <x:v>damage_coefficient_ratio</x:v>
      </x:c>
      <x:c r="D55" s="18"/>
      <x:c r="E55" s="7" t="str">
        <x:v>pending</x:v>
      </x:c>
      <x:c r="F55" s="7" t="str">
        <x:v>balance_pending</x:v>
      </x:c>
    </x:row>
    <x:row r="56" ht="28" customHeight="1">
      <x:c r="A56" s="7" t="str">
        <x:v>Effect</x:v>
      </x:c>
      <x:c r="B56" s="7" t="str">
        <x:v>effect_m3_tho_hm_r_resonance</x:v>
      </x:c>
      <x:c r="C56" s="7" t="str">
        <x:v>radius_units</x:v>
      </x:c>
      <x:c r="D56" s="18"/>
      <x:c r="E56" s="7" t="str">
        <x:v>pending</x:v>
      </x:c>
      <x:c r="F56" s="7" t="str">
        <x:v>balance_pending</x:v>
      </x:c>
    </x:row>
    <x:row r="57" ht="28" customHeight="1">
      <x:c r="A57" s="7" t="str">
        <x:v>Effect</x:v>
      </x:c>
      <x:c r="B57" s="7" t="str">
        <x:v>effect_m3_tho_hm_r_resonance</x:v>
      </x:c>
      <x:c r="C57" s="7" t="str">
        <x:v>duration_sec</x:v>
      </x:c>
      <x:c r="D57" s="18"/>
      <x:c r="E57" s="7" t="str">
        <x:v>pending</x:v>
      </x:c>
      <x:c r="F57" s="7" t="str">
        <x:v>balance_pending</x:v>
      </x:c>
    </x:row>
    <x:row r="58" ht="28" customHeight="1">
      <x:c r="A58" s="7" t="str">
        <x:v>Upgrade</x:v>
      </x:c>
      <x:c r="B58" s="7" t="str">
        <x:v>upgrade_m3_tho_hm_r</x:v>
      </x:c>
      <x:c r="C58" s="7" t="str">
        <x:v>cost_amount</x:v>
      </x:c>
      <x:c r="D58" s="18"/>
      <x:c r="E58" s="7" t="str">
        <x:v>pending</x:v>
      </x:c>
      <x:c r="F58" s="7" t="str">
        <x:v>balance_pending</x:v>
      </x:c>
    </x:row>
    <x:row r="59" ht="28" customHeight="1">
      <x:c r="A59" s="7" t="str">
        <x:v>Effect</x:v>
      </x:c>
      <x:c r="B59" s="7" t="str">
        <x:v>effect_m3_tho_hm_i_base</x:v>
      </x:c>
      <x:c r="C59" s="7" t="str">
        <x:v>duration_sec</x:v>
      </x:c>
      <x:c r="D59" s="18"/>
      <x:c r="E59" s="7" t="str">
        <x:v>pending</x:v>
      </x:c>
      <x:c r="F59" s="7" t="str">
        <x:v>balance_pending</x:v>
      </x:c>
    </x:row>
    <x:row r="60" ht="28" customHeight="1">
      <x:c r="A60" s="7" t="str">
        <x:v>Effect</x:v>
      </x:c>
      <x:c r="B60" s="7" t="str">
        <x:v>effect_m3_tho_hm_i_base</x:v>
      </x:c>
      <x:c r="C60" s="7" t="str">
        <x:v>damage_coefficient_ratio</x:v>
      </x:c>
      <x:c r="D60" s="18"/>
      <x:c r="E60" s="7" t="str">
        <x:v>pending</x:v>
      </x:c>
      <x:c r="F60" s="7" t="str">
        <x:v>balance_pending</x:v>
      </x:c>
    </x:row>
    <x:row r="61" ht="28" customHeight="1">
      <x:c r="A61" s="7" t="str">
        <x:v>Effect</x:v>
      </x:c>
      <x:c r="B61" s="7" t="str">
        <x:v>effect_m3_tho_hm_i_resonance</x:v>
      </x:c>
      <x:c r="C61" s="7" t="str">
        <x:v>damage_coefficient_ratio</x:v>
      </x:c>
      <x:c r="D61" s="18"/>
      <x:c r="E61" s="7" t="str">
        <x:v>pending</x:v>
      </x:c>
      <x:c r="F61" s="7" t="str">
        <x:v>balance_pending</x:v>
      </x:c>
    </x:row>
    <x:row r="62" ht="28" customHeight="1">
      <x:c r="A62" s="7" t="str">
        <x:v>Effect</x:v>
      </x:c>
      <x:c r="B62" s="7" t="str">
        <x:v>effect_m3_tho_hm_i_resonance</x:v>
      </x:c>
      <x:c r="C62" s="7" t="str">
        <x:v>radius_units</x:v>
      </x:c>
      <x:c r="D62" s="18"/>
      <x:c r="E62" s="7" t="str">
        <x:v>pending</x:v>
      </x:c>
      <x:c r="F62" s="7" t="str">
        <x:v>balance_pending</x:v>
      </x:c>
    </x:row>
    <x:row r="63" ht="28" customHeight="1">
      <x:c r="A63" s="7" t="str">
        <x:v>Upgrade</x:v>
      </x:c>
      <x:c r="B63" s="7" t="str">
        <x:v>upgrade_m3_tho_hm_i</x:v>
      </x:c>
      <x:c r="C63" s="7" t="str">
        <x:v>cost_amount</x:v>
      </x:c>
      <x:c r="D63" s="18"/>
      <x:c r="E63" s="7" t="str">
        <x:v>pending</x:v>
      </x:c>
      <x:c r="F63" s="7" t="str">
        <x:v>balance_pending</x:v>
      </x:c>
    </x:row>
    <x:row r="64" ht="28" customHeight="1">
      <x:c r="A64" s="7" t="str">
        <x:v>Effect</x:v>
      </x:c>
      <x:c r="B64" s="7" t="str">
        <x:v>effect_m3_apo_sp_base</x:v>
      </x:c>
      <x:c r="C64" s="7" t="str">
        <x:v>duration_sec</x:v>
      </x:c>
      <x:c r="D64" s="18"/>
      <x:c r="E64" s="7" t="str">
        <x:v>pending</x:v>
      </x:c>
      <x:c r="F64" s="7" t="str">
        <x:v>balance_pending</x:v>
      </x:c>
    </x:row>
    <x:row r="65" ht="28" customHeight="1">
      <x:c r="A65" s="7" t="str">
        <x:v>Effect</x:v>
      </x:c>
      <x:c r="B65" s="7" t="str">
        <x:v>effect_m3_apo_sp_base</x:v>
      </x:c>
      <x:c r="C65" s="7" t="str">
        <x:v>damage_coefficient_ratio</x:v>
      </x:c>
      <x:c r="D65" s="18"/>
      <x:c r="E65" s="7" t="str">
        <x:v>pending</x:v>
      </x:c>
      <x:c r="F65" s="7" t="str">
        <x:v>balance_pending</x:v>
      </x:c>
    </x:row>
    <x:row r="66" ht="28" customHeight="1">
      <x:c r="A66" s="7" t="str">
        <x:v>Effect</x:v>
      </x:c>
      <x:c r="B66" s="7" t="str">
        <x:v>effect_m3_apo_sp_resonance</x:v>
      </x:c>
      <x:c r="C66" s="7" t="str">
        <x:v>damage_coefficient_ratio</x:v>
      </x:c>
      <x:c r="D66" s="18"/>
      <x:c r="E66" s="7" t="str">
        <x:v>pending</x:v>
      </x:c>
      <x:c r="F66" s="7" t="str">
        <x:v>balance_pending</x:v>
      </x:c>
    </x:row>
    <x:row r="67" ht="28" customHeight="1">
      <x:c r="A67" s="7" t="str">
        <x:v>Effect</x:v>
      </x:c>
      <x:c r="B67" s="7" t="str">
        <x:v>effect_m3_apo_sp_resonance</x:v>
      </x:c>
      <x:c r="C67" s="7" t="str">
        <x:v>range_units</x:v>
      </x:c>
      <x:c r="D67" s="18"/>
      <x:c r="E67" s="7" t="str">
        <x:v>pending</x:v>
      </x:c>
      <x:c r="F67" s="7" t="str">
        <x:v>balance_pending</x:v>
      </x:c>
    </x:row>
    <x:row r="68" ht="28" customHeight="1">
      <x:c r="A68" s="7" t="str">
        <x:v>Effect</x:v>
      </x:c>
      <x:c r="B68" s="7" t="str">
        <x:v>effect_m3_apo_sp_resonance</x:v>
      </x:c>
      <x:c r="C68" s="7" t="str">
        <x:v>duration_sec</x:v>
      </x:c>
      <x:c r="D68" s="18"/>
      <x:c r="E68" s="7" t="str">
        <x:v>pending</x:v>
      </x:c>
      <x:c r="F68" s="7" t="str">
        <x:v>balance_pending</x:v>
      </x:c>
    </x:row>
    <x:row r="69" ht="28" customHeight="1">
      <x:c r="A69" s="7" t="str">
        <x:v>Upgrade</x:v>
      </x:c>
      <x:c r="B69" s="7" t="str">
        <x:v>upgrade_m3_apo_sp</x:v>
      </x:c>
      <x:c r="C69" s="7" t="str">
        <x:v>cost_amount</x:v>
      </x:c>
      <x:c r="D69" s="18"/>
      <x:c r="E69" s="7" t="str">
        <x:v>pending</x:v>
      </x:c>
      <x:c r="F69" s="7" t="str">
        <x:v>balance_pending</x:v>
      </x:c>
    </x:row>
    <x:row r="70" ht="28" customHeight="1">
      <x:c r="A70" s="7" t="str">
        <x:v>Effect</x:v>
      </x:c>
      <x:c r="B70" s="7" t="str">
        <x:v>effect_m3_apo_bw_base</x:v>
      </x:c>
      <x:c r="C70" s="7" t="str">
        <x:v>duration_sec</x:v>
      </x:c>
      <x:c r="D70" s="18"/>
      <x:c r="E70" s="7" t="str">
        <x:v>pending</x:v>
      </x:c>
      <x:c r="F70" s="7" t="str">
        <x:v>balance_pending</x:v>
      </x:c>
    </x:row>
    <x:row r="71" ht="28" customHeight="1">
      <x:c r="A71" s="7" t="str">
        <x:v>Effect</x:v>
      </x:c>
      <x:c r="B71" s="7" t="str">
        <x:v>effect_m3_apo_bw_base</x:v>
      </x:c>
      <x:c r="C71" s="7" t="str">
        <x:v>damage_coefficient_ratio</x:v>
      </x:c>
      <x:c r="D71" s="18"/>
      <x:c r="E71" s="7" t="str">
        <x:v>pending</x:v>
      </x:c>
      <x:c r="F71" s="7" t="str">
        <x:v>balance_pending</x:v>
      </x:c>
    </x:row>
    <x:row r="72" ht="28" customHeight="1">
      <x:c r="A72" s="7" t="str">
        <x:v>Effect</x:v>
      </x:c>
      <x:c r="B72" s="7" t="str">
        <x:v>effect_m3_apo_bw_resonance</x:v>
      </x:c>
      <x:c r="C72" s="7" t="str">
        <x:v>damage_coefficient_ratio</x:v>
      </x:c>
      <x:c r="D72" s="18"/>
      <x:c r="E72" s="7" t="str">
        <x:v>pending</x:v>
      </x:c>
      <x:c r="F72" s="7" t="str">
        <x:v>balance_pending</x:v>
      </x:c>
    </x:row>
    <x:row r="73" ht="28" customHeight="1">
      <x:c r="A73" s="7" t="str">
        <x:v>Effect</x:v>
      </x:c>
      <x:c r="B73" s="7" t="str">
        <x:v>effect_m3_apo_bw_resonance</x:v>
      </x:c>
      <x:c r="C73" s="7" t="str">
        <x:v>max_target_count</x:v>
      </x:c>
      <x:c r="D73" s="18"/>
      <x:c r="E73" s="7" t="str">
        <x:v>pending</x:v>
      </x:c>
      <x:c r="F73" s="7" t="str">
        <x:v>balance_pending</x:v>
      </x:c>
    </x:row>
    <x:row r="74" ht="28" customHeight="1">
      <x:c r="A74" s="7" t="str">
        <x:v>Upgrade</x:v>
      </x:c>
      <x:c r="B74" s="7" t="str">
        <x:v>upgrade_m3_apo_bw</x:v>
      </x:c>
      <x:c r="C74" s="7" t="str">
        <x:v>cost_amount</x:v>
      </x:c>
      <x:c r="D74" s="18"/>
      <x:c r="E74" s="7" t="str">
        <x:v>pending</x:v>
      </x:c>
      <x:c r="F74" s="7" t="str">
        <x:v>balance_pending</x:v>
      </x:c>
    </x:row>
    <x:row r="75" ht="28" customHeight="1">
      <x:c r="A75" s="7" t="str">
        <x:v>Effect</x:v>
      </x:c>
      <x:c r="B75" s="7" t="str">
        <x:v>effect_m3_apo_st_base</x:v>
      </x:c>
      <x:c r="C75" s="7" t="str">
        <x:v>timing_window_sec</x:v>
      </x:c>
      <x:c r="D75" s="18"/>
      <x:c r="E75" s="7" t="str">
        <x:v>pending</x:v>
      </x:c>
      <x:c r="F75" s="7" t="str">
        <x:v>balance_pending</x:v>
      </x:c>
    </x:row>
    <x:row r="76" ht="28" customHeight="1">
      <x:c r="A76" s="7" t="str">
        <x:v>Effect</x:v>
      </x:c>
      <x:c r="B76" s="7" t="str">
        <x:v>effect_m3_apo_st_base</x:v>
      </x:c>
      <x:c r="C76" s="7" t="str">
        <x:v>damage_coefficient_ratio</x:v>
      </x:c>
      <x:c r="D76" s="18"/>
      <x:c r="E76" s="7" t="str">
        <x:v>pending</x:v>
      </x:c>
      <x:c r="F76" s="7" t="str">
        <x:v>balance_pending</x:v>
      </x:c>
    </x:row>
    <x:row r="77" ht="28" customHeight="1">
      <x:c r="A77" s="7" t="str">
        <x:v>Effect</x:v>
      </x:c>
      <x:c r="B77" s="7" t="str">
        <x:v>effect_m3_apo_st_resonance</x:v>
      </x:c>
      <x:c r="C77" s="7" t="str">
        <x:v>timing_window_sec</x:v>
      </x:c>
      <x:c r="D77" s="18"/>
      <x:c r="E77" s="7" t="str">
        <x:v>pending</x:v>
      </x:c>
      <x:c r="F77" s="7" t="str">
        <x:v>balance_pending</x:v>
      </x:c>
    </x:row>
    <x:row r="78" ht="28" customHeight="1">
      <x:c r="A78" s="7" t="str">
        <x:v>Effect</x:v>
      </x:c>
      <x:c r="B78" s="7" t="str">
        <x:v>effect_m3_apo_st_resonance</x:v>
      </x:c>
      <x:c r="C78" s="7" t="str">
        <x:v>damage_coefficient_ratio</x:v>
      </x:c>
      <x:c r="D78" s="18"/>
      <x:c r="E78" s="7" t="str">
        <x:v>pending</x:v>
      </x:c>
      <x:c r="F78" s="7" t="str">
        <x:v>balance_pending</x:v>
      </x:c>
    </x:row>
    <x:row r="79" ht="28" customHeight="1">
      <x:c r="A79" s="7" t="str">
        <x:v>Effect</x:v>
      </x:c>
      <x:c r="B79" s="7" t="str">
        <x:v>effect_m3_apo_st_resonance</x:v>
      </x:c>
      <x:c r="C79" s="7" t="str">
        <x:v>radius_units</x:v>
      </x:c>
      <x:c r="D79" s="18"/>
      <x:c r="E79" s="7" t="str">
        <x:v>pending</x:v>
      </x:c>
      <x:c r="F79" s="7" t="str">
        <x:v>balance_pending</x:v>
      </x:c>
    </x:row>
    <x:row r="80" ht="28" customHeight="1">
      <x:c r="A80" s="7" t="str">
        <x:v>Upgrade</x:v>
      </x:c>
      <x:c r="B80" s="7" t="str">
        <x:v>upgrade_m3_apo_st</x:v>
      </x:c>
      <x:c r="C80" s="7" t="str">
        <x:v>cost_amount</x:v>
      </x:c>
      <x:c r="D80" s="18"/>
      <x:c r="E80" s="7" t="str">
        <x:v>pending</x:v>
      </x:c>
      <x:c r="F80" s="7" t="str">
        <x:v>balance_pending</x:v>
      </x:c>
    </x:row>
    <x:row r="81" ht="28" customHeight="1">
      <x:c r="A81" s="7" t="str">
        <x:v>Effect</x:v>
      </x:c>
      <x:c r="B81" s="7" t="str">
        <x:v>effect_m3_are_sp_base</x:v>
      </x:c>
      <x:c r="C81" s="7" t="str">
        <x:v>duration_sec</x:v>
      </x:c>
      <x:c r="D81" s="18"/>
      <x:c r="E81" s="7" t="str">
        <x:v>pending</x:v>
      </x:c>
      <x:c r="F81" s="7" t="str">
        <x:v>balance_pending</x:v>
      </x:c>
    </x:row>
    <x:row r="82" ht="28" customHeight="1">
      <x:c r="A82" s="7" t="str">
        <x:v>Effect</x:v>
      </x:c>
      <x:c r="B82" s="7" t="str">
        <x:v>effect_m3_are_sp_base</x:v>
      </x:c>
      <x:c r="C82" s="7" t="str">
        <x:v>damage_coefficient_ratio</x:v>
      </x:c>
      <x:c r="D82" s="18"/>
      <x:c r="E82" s="7" t="str">
        <x:v>pending</x:v>
      </x:c>
      <x:c r="F82" s="7" t="str">
        <x:v>balance_pending</x:v>
      </x:c>
    </x:row>
    <x:row r="83" ht="28" customHeight="1">
      <x:c r="A83" s="7" t="str">
        <x:v>Effect</x:v>
      </x:c>
      <x:c r="B83" s="7" t="str">
        <x:v>effect_m3_are_sp_resonance</x:v>
      </x:c>
      <x:c r="C83" s="7" t="str">
        <x:v>max_stack_count</x:v>
      </x:c>
      <x:c r="D83" s="18"/>
      <x:c r="E83" s="7" t="str">
        <x:v>pending</x:v>
      </x:c>
      <x:c r="F83" s="7" t="str">
        <x:v>balance_pending</x:v>
      </x:c>
    </x:row>
    <x:row r="84" ht="28" customHeight="1">
      <x:c r="A84" s="7" t="str">
        <x:v>Effect</x:v>
      </x:c>
      <x:c r="B84" s="7" t="str">
        <x:v>effect_m3_are_sp_resonance</x:v>
      </x:c>
      <x:c r="C84" s="7" t="str">
        <x:v>duration_sec</x:v>
      </x:c>
      <x:c r="D84" s="18"/>
      <x:c r="E84" s="7" t="str">
        <x:v>pending</x:v>
      </x:c>
      <x:c r="F84" s="7" t="str">
        <x:v>balance_pending</x:v>
      </x:c>
    </x:row>
    <x:row r="85" ht="28" customHeight="1">
      <x:c r="A85" s="7" t="str">
        <x:v>Effect</x:v>
      </x:c>
      <x:c r="B85" s="7" t="str">
        <x:v>effect_m3_are_sp_resonance</x:v>
      </x:c>
      <x:c r="C85" s="7" t="str">
        <x:v>damage_coefficient_ratio</x:v>
      </x:c>
      <x:c r="D85" s="18"/>
      <x:c r="E85" s="7" t="str">
        <x:v>pending</x:v>
      </x:c>
      <x:c r="F85" s="7" t="str">
        <x:v>balance_pending</x:v>
      </x:c>
    </x:row>
    <x:row r="86" ht="28" customHeight="1">
      <x:c r="A86" s="7" t="str">
        <x:v>Upgrade</x:v>
      </x:c>
      <x:c r="B86" s="7" t="str">
        <x:v>upgrade_m3_are_sp</x:v>
      </x:c>
      <x:c r="C86" s="7" t="str">
        <x:v>cost_amount</x:v>
      </x:c>
      <x:c r="D86" s="18"/>
      <x:c r="E86" s="7" t="str">
        <x:v>pending</x:v>
      </x:c>
      <x:c r="F86" s="7" t="str">
        <x:v>balance_pending</x:v>
      </x:c>
    </x:row>
    <x:row r="87" ht="28" customHeight="1">
      <x:c r="A87" s="7" t="str">
        <x:v>Effect</x:v>
      </x:c>
      <x:c r="B87" s="7" t="str">
        <x:v>effect_m3_are_gs_base</x:v>
      </x:c>
      <x:c r="C87" s="7" t="str">
        <x:v>duration_sec</x:v>
      </x:c>
      <x:c r="D87" s="18"/>
      <x:c r="E87" s="7" t="str">
        <x:v>pending</x:v>
      </x:c>
      <x:c r="F87" s="7" t="str">
        <x:v>balance_pending</x:v>
      </x:c>
    </x:row>
    <x:row r="88" ht="28" customHeight="1">
      <x:c r="A88" s="7" t="str">
        <x:v>Effect</x:v>
      </x:c>
      <x:c r="B88" s="7" t="str">
        <x:v>effect_m3_are_gs_base</x:v>
      </x:c>
      <x:c r="C88" s="7" t="str">
        <x:v>damage_coefficient_ratio</x:v>
      </x:c>
      <x:c r="D88" s="18"/>
      <x:c r="E88" s="7" t="str">
        <x:v>pending</x:v>
      </x:c>
      <x:c r="F88" s="7" t="str">
        <x:v>balance_pending</x:v>
      </x:c>
    </x:row>
    <x:row r="89" ht="28" customHeight="1">
      <x:c r="A89" s="7" t="str">
        <x:v>Effect</x:v>
      </x:c>
      <x:c r="B89" s="7" t="str">
        <x:v>effect_m3_are_gs_resonance</x:v>
      </x:c>
      <x:c r="C89" s="7" t="str">
        <x:v>duration_sec</x:v>
      </x:c>
      <x:c r="D89" s="18"/>
      <x:c r="E89" s="7" t="str">
        <x:v>pending</x:v>
      </x:c>
      <x:c r="F89" s="7" t="str">
        <x:v>balance_pending</x:v>
      </x:c>
    </x:row>
    <x:row r="90" ht="28" customHeight="1">
      <x:c r="A90" s="7" t="str">
        <x:v>Effect</x:v>
      </x:c>
      <x:c r="B90" s="7" t="str">
        <x:v>effect_m3_are_gs_resonance</x:v>
      </x:c>
      <x:c r="C90" s="7" t="str">
        <x:v>radius_units</x:v>
      </x:c>
      <x:c r="D90" s="18"/>
      <x:c r="E90" s="7" t="str">
        <x:v>pending</x:v>
      </x:c>
      <x:c r="F90" s="7" t="str">
        <x:v>balance_pending</x:v>
      </x:c>
    </x:row>
    <x:row r="91" ht="28" customHeight="1">
      <x:c r="A91" s="7" t="str">
        <x:v>Effect</x:v>
      </x:c>
      <x:c r="B91" s="7" t="str">
        <x:v>effect_m3_are_gs_resonance</x:v>
      </x:c>
      <x:c r="C91" s="7" t="str">
        <x:v>cooldown_sec</x:v>
      </x:c>
      <x:c r="D91" s="18"/>
      <x:c r="E91" s="7" t="str">
        <x:v>pending</x:v>
      </x:c>
      <x:c r="F91" s="7" t="str">
        <x:v>balance_pending</x:v>
      </x:c>
    </x:row>
    <x:row r="92" ht="28" customHeight="1">
      <x:c r="A92" s="7" t="str">
        <x:v>Upgrade</x:v>
      </x:c>
      <x:c r="B92" s="7" t="str">
        <x:v>upgrade_m3_are_gs</x:v>
      </x:c>
      <x:c r="C92" s="7" t="str">
        <x:v>cost_amount</x:v>
      </x:c>
      <x:c r="D92" s="18"/>
      <x:c r="E92" s="7" t="str">
        <x:v>pending</x:v>
      </x:c>
      <x:c r="F92" s="7" t="str">
        <x:v>balance_pending</x:v>
      </x:c>
    </x:row>
    <x:row r="93" ht="28" customHeight="1">
      <x:c r="A93" s="7" t="str">
        <x:v>Effect</x:v>
      </x:c>
      <x:c r="B93" s="7" t="str">
        <x:v>effect_m3_are_ss_base</x:v>
      </x:c>
      <x:c r="C93" s="7" t="str">
        <x:v>duration_sec</x:v>
      </x:c>
      <x:c r="D93" s="18"/>
      <x:c r="E93" s="7" t="str">
        <x:v>pending</x:v>
      </x:c>
      <x:c r="F93" s="7" t="str">
        <x:v>balance_pending</x:v>
      </x:c>
    </x:row>
    <x:row r="94" ht="28" customHeight="1">
      <x:c r="A94" s="7" t="str">
        <x:v>Effect</x:v>
      </x:c>
      <x:c r="B94" s="7" t="str">
        <x:v>effect_m3_are_ss_base</x:v>
      </x:c>
      <x:c r="C94" s="7" t="str">
        <x:v>damage_coefficient_ratio</x:v>
      </x:c>
      <x:c r="D94" s="18"/>
      <x:c r="E94" s="7" t="str">
        <x:v>pending</x:v>
      </x:c>
      <x:c r="F94" s="7" t="str">
        <x:v>balance_pending</x:v>
      </x:c>
    </x:row>
    <x:row r="95" ht="28" customHeight="1">
      <x:c r="A95" s="7" t="str">
        <x:v>Effect</x:v>
      </x:c>
      <x:c r="B95" s="7" t="str">
        <x:v>effect_m3_are_ss_resonance</x:v>
      </x:c>
      <x:c r="C95" s="7" t="str">
        <x:v>max_stack_count</x:v>
      </x:c>
      <x:c r="D95" s="18"/>
      <x:c r="E95" s="7" t="str">
        <x:v>pending</x:v>
      </x:c>
      <x:c r="F95" s="7" t="str">
        <x:v>balance_pending</x:v>
      </x:c>
    </x:row>
    <x:row r="96" ht="28" customHeight="1">
      <x:c r="A96" s="7" t="str">
        <x:v>Effect</x:v>
      </x:c>
      <x:c r="B96" s="7" t="str">
        <x:v>effect_m3_are_ss_resonance</x:v>
      </x:c>
      <x:c r="C96" s="7" t="str">
        <x:v>duration_sec</x:v>
      </x:c>
      <x:c r="D96" s="18"/>
      <x:c r="E96" s="7" t="str">
        <x:v>pending</x:v>
      </x:c>
      <x:c r="F96" s="7" t="str">
        <x:v>balance_pending</x:v>
      </x:c>
    </x:row>
    <x:row r="97" ht="28" customHeight="1">
      <x:c r="A97" s="7" t="str">
        <x:v>Effect</x:v>
      </x:c>
      <x:c r="B97" s="7" t="str">
        <x:v>effect_m3_are_ss_resonance</x:v>
      </x:c>
      <x:c r="C97" s="7" t="str">
        <x:v>damage_coefficient_ratio</x:v>
      </x:c>
      <x:c r="D97" s="18"/>
      <x:c r="E97" s="7" t="str">
        <x:v>pending</x:v>
      </x:c>
      <x:c r="F97" s="7" t="str">
        <x:v>balance_pending</x:v>
      </x:c>
    </x:row>
    <x:row r="98" ht="28" customHeight="1">
      <x:c r="A98" s="7" t="str">
        <x:v>Upgrade</x:v>
      </x:c>
      <x:c r="B98" s="7" t="str">
        <x:v>upgrade_m3_are_ss</x:v>
      </x:c>
      <x:c r="C98" s="7" t="str">
        <x:v>cost_amount</x:v>
      </x:c>
      <x:c r="D98" s="18"/>
      <x:c r="E98" s="7" t="str">
        <x:v>pending</x:v>
      </x:c>
      <x:c r="F98" s="7" t="str">
        <x:v>balance_pending</x:v>
      </x:c>
    </x:row>
    <x:row r="99" ht="28" customHeight="1">
      <x:c r="A99" s="7" t="str">
        <x:v>Effect</x:v>
      </x:c>
      <x:c r="B99" s="7" t="str">
        <x:v>effect_m3_had_gs_base</x:v>
      </x:c>
      <x:c r="C99" s="7" t="str">
        <x:v>duration_sec</x:v>
      </x:c>
      <x:c r="D99" s="18"/>
      <x:c r="E99" s="7" t="str">
        <x:v>pending</x:v>
      </x:c>
      <x:c r="F99" s="7" t="str">
        <x:v>balance_pending</x:v>
      </x:c>
    </x:row>
    <x:row r="100" ht="28" customHeight="1">
      <x:c r="A100" s="7" t="str">
        <x:v>Effect</x:v>
      </x:c>
      <x:c r="B100" s="7" t="str">
        <x:v>effect_m3_had_gs_base</x:v>
      </x:c>
      <x:c r="C100" s="7" t="str">
        <x:v>damage_coefficient_ratio</x:v>
      </x:c>
      <x:c r="D100" s="18"/>
      <x:c r="E100" s="7" t="str">
        <x:v>pending</x:v>
      </x:c>
      <x:c r="F100" s="7" t="str">
        <x:v>balance_pending</x:v>
      </x:c>
    </x:row>
    <x:row r="101" ht="28" customHeight="1">
      <x:c r="A101" s="7" t="str">
        <x:v>Effect</x:v>
      </x:c>
      <x:c r="B101" s="7" t="str">
        <x:v>effect_m3_had_gs_resonance</x:v>
      </x:c>
      <x:c r="C101" s="7" t="str">
        <x:v>duration_sec</x:v>
      </x:c>
      <x:c r="D101" s="18"/>
      <x:c r="E101" s="7" t="str">
        <x:v>pending</x:v>
      </x:c>
      <x:c r="F101" s="7" t="str">
        <x:v>balance_pending</x:v>
      </x:c>
    </x:row>
    <x:row r="102" ht="28" customHeight="1">
      <x:c r="A102" s="7" t="str">
        <x:v>Effect</x:v>
      </x:c>
      <x:c r="B102" s="7" t="str">
        <x:v>effect_m3_had_gs_resonance</x:v>
      </x:c>
      <x:c r="C102" s="7" t="str">
        <x:v>radius_units</x:v>
      </x:c>
      <x:c r="D102" s="18"/>
      <x:c r="E102" s="7" t="str">
        <x:v>pending</x:v>
      </x:c>
      <x:c r="F102" s="7" t="str">
        <x:v>balance_pending</x:v>
      </x:c>
    </x:row>
    <x:row r="103" ht="28" customHeight="1">
      <x:c r="A103" s="7" t="str">
        <x:v>Effect</x:v>
      </x:c>
      <x:c r="B103" s="7" t="str">
        <x:v>effect_m3_had_gs_resonance</x:v>
      </x:c>
      <x:c r="C103" s="7" t="str">
        <x:v>max_area_count</x:v>
      </x:c>
      <x:c r="D103" s="18"/>
      <x:c r="E103" s="7" t="str">
        <x:v>pending</x:v>
      </x:c>
      <x:c r="F103" s="7" t="str">
        <x:v>balance_pending</x:v>
      </x:c>
    </x:row>
    <x:row r="104" ht="28" customHeight="1">
      <x:c r="A104" s="7" t="str">
        <x:v>Effect</x:v>
      </x:c>
      <x:c r="B104" s="7" t="str">
        <x:v>effect_m3_had_gs_resonance</x:v>
      </x:c>
      <x:c r="C104" s="7" t="str">
        <x:v>damage_coefficient_ratio</x:v>
      </x:c>
      <x:c r="D104" s="18"/>
      <x:c r="E104" s="7" t="str">
        <x:v>pending</x:v>
      </x:c>
      <x:c r="F104" s="7" t="str">
        <x:v>balance_pending</x:v>
      </x:c>
    </x:row>
    <x:row r="105" ht="28" customHeight="1">
      <x:c r="A105" s="7" t="str">
        <x:v>Upgrade</x:v>
      </x:c>
      <x:c r="B105" s="7" t="str">
        <x:v>upgrade_m3_had_gs</x:v>
      </x:c>
      <x:c r="C105" s="7" t="str">
        <x:v>cost_amount</x:v>
      </x:c>
      <x:c r="D105" s="18"/>
      <x:c r="E105" s="7" t="str">
        <x:v>pending</x:v>
      </x:c>
      <x:c r="F105" s="7" t="str">
        <x:v>balance_pending</x:v>
      </x:c>
    </x:row>
    <x:row r="106" ht="28" customHeight="1">
      <x:c r="A106" s="7" t="str">
        <x:v>Effect</x:v>
      </x:c>
      <x:c r="B106" s="7" t="str">
        <x:v>effect_m3_had_dg_base</x:v>
      </x:c>
      <x:c r="C106" s="7" t="str">
        <x:v>move_distance_units</x:v>
      </x:c>
      <x:c r="D106" s="18"/>
      <x:c r="E106" s="7" t="str">
        <x:v>pending</x:v>
      </x:c>
      <x:c r="F106" s="7" t="str">
        <x:v>balance_pending</x:v>
      </x:c>
    </x:row>
    <x:row r="107" ht="28" customHeight="1">
      <x:c r="A107" s="7" t="str">
        <x:v>Effect</x:v>
      </x:c>
      <x:c r="B107" s="7" t="str">
        <x:v>effect_m3_had_dg_base</x:v>
      </x:c>
      <x:c r="C107" s="7" t="str">
        <x:v>duration_sec</x:v>
      </x:c>
      <x:c r="D107" s="18"/>
      <x:c r="E107" s="7" t="str">
        <x:v>pending</x:v>
      </x:c>
      <x:c r="F107" s="7" t="str">
        <x:v>balance_pending</x:v>
      </x:c>
    </x:row>
    <x:row r="108" ht="28" customHeight="1">
      <x:c r="A108" s="7" t="str">
        <x:v>Effect</x:v>
      </x:c>
      <x:c r="B108" s="7" t="str">
        <x:v>effect_m3_had_dg_base</x:v>
      </x:c>
      <x:c r="C108" s="7" t="str">
        <x:v>damage_coefficient_ratio</x:v>
      </x:c>
      <x:c r="D108" s="18"/>
      <x:c r="E108" s="7" t="str">
        <x:v>pending</x:v>
      </x:c>
      <x:c r="F108" s="7" t="str">
        <x:v>balance_pending</x:v>
      </x:c>
    </x:row>
    <x:row r="109" ht="28" customHeight="1">
      <x:c r="A109" s="7" t="str">
        <x:v>Effect</x:v>
      </x:c>
      <x:c r="B109" s="7" t="str">
        <x:v>effect_m3_had_dg_resonance</x:v>
      </x:c>
      <x:c r="C109" s="7" t="str">
        <x:v>duration_sec</x:v>
      </x:c>
      <x:c r="D109" s="18"/>
      <x:c r="E109" s="7" t="str">
        <x:v>pending</x:v>
      </x:c>
      <x:c r="F109" s="7" t="str">
        <x:v>balance_pending</x:v>
      </x:c>
    </x:row>
    <x:row r="110" ht="28" customHeight="1">
      <x:c r="A110" s="7" t="str">
        <x:v>Effect</x:v>
      </x:c>
      <x:c r="B110" s="7" t="str">
        <x:v>effect_m3_had_dg_resonance</x:v>
      </x:c>
      <x:c r="C110" s="7" t="str">
        <x:v>move_distance_units</x:v>
      </x:c>
      <x:c r="D110" s="18"/>
      <x:c r="E110" s="7" t="str">
        <x:v>pending</x:v>
      </x:c>
      <x:c r="F110" s="7" t="str">
        <x:v>balance_pending</x:v>
      </x:c>
    </x:row>
    <x:row r="111" ht="28" customHeight="1">
      <x:c r="A111" s="7" t="str">
        <x:v>Effect</x:v>
      </x:c>
      <x:c r="B111" s="7" t="str">
        <x:v>effect_m3_had_dg_resonance</x:v>
      </x:c>
      <x:c r="C111" s="7" t="str">
        <x:v>cooldown_sec</x:v>
      </x:c>
      <x:c r="D111" s="18"/>
      <x:c r="E111" s="7" t="str">
        <x:v>pending</x:v>
      </x:c>
      <x:c r="F111" s="7" t="str">
        <x:v>balance_pending</x:v>
      </x:c>
    </x:row>
    <x:row r="112" ht="28" customHeight="1">
      <x:c r="A112" s="7" t="str">
        <x:v>Upgrade</x:v>
      </x:c>
      <x:c r="B112" s="7" t="str">
        <x:v>upgrade_m3_had_dg</x:v>
      </x:c>
      <x:c r="C112" s="7" t="str">
        <x:v>cost_amount</x:v>
      </x:c>
      <x:c r="D112" s="18"/>
      <x:c r="E112" s="7" t="str">
        <x:v>pending</x:v>
      </x:c>
      <x:c r="F112" s="7" t="str">
        <x:v>balance_pending</x:v>
      </x:c>
    </x:row>
    <x:row r="113" ht="28" customHeight="1">
      <x:c r="A113" s="7" t="str">
        <x:v>Effect</x:v>
      </x:c>
      <x:c r="B113" s="7" t="str">
        <x:v>effect_m3_art_sp_base</x:v>
      </x:c>
      <x:c r="C113" s="7" t="str">
        <x:v>duration_sec</x:v>
      </x:c>
      <x:c r="D113" s="18"/>
      <x:c r="E113" s="7" t="str">
        <x:v>pending</x:v>
      </x:c>
      <x:c r="F113" s="7" t="str">
        <x:v>balance_pending</x:v>
      </x:c>
    </x:row>
    <x:row r="114" ht="28" customHeight="1">
      <x:c r="A114" s="7" t="str">
        <x:v>Effect</x:v>
      </x:c>
      <x:c r="B114" s="7" t="str">
        <x:v>effect_m3_art_sp_base</x:v>
      </x:c>
      <x:c r="C114" s="7" t="str">
        <x:v>damage_coefficient_ratio</x:v>
      </x:c>
      <x:c r="D114" s="18"/>
      <x:c r="E114" s="7" t="str">
        <x:v>pending</x:v>
      </x:c>
      <x:c r="F114" s="7" t="str">
        <x:v>balance_pending</x:v>
      </x:c>
    </x:row>
    <x:row r="115" ht="28" customHeight="1">
      <x:c r="A115" s="7" t="str">
        <x:v>Effect</x:v>
      </x:c>
      <x:c r="B115" s="7" t="str">
        <x:v>effect_m3_art_sp_resonance</x:v>
      </x:c>
      <x:c r="C115" s="7" t="str">
        <x:v>damage_coefficient_ratio</x:v>
      </x:c>
      <x:c r="D115" s="18"/>
      <x:c r="E115" s="7" t="str">
        <x:v>pending</x:v>
      </x:c>
      <x:c r="F115" s="7" t="str">
        <x:v>balance_pending</x:v>
      </x:c>
    </x:row>
    <x:row r="116" ht="28" customHeight="1">
      <x:c r="A116" s="7" t="str">
        <x:v>Effect</x:v>
      </x:c>
      <x:c r="B116" s="7" t="str">
        <x:v>effect_m3_art_sp_resonance</x:v>
      </x:c>
      <x:c r="C116" s="7" t="str">
        <x:v>range_units</x:v>
      </x:c>
      <x:c r="D116" s="18"/>
      <x:c r="E116" s="7" t="str">
        <x:v>pending</x:v>
      </x:c>
      <x:c r="F116" s="7" t="str">
        <x:v>balance_pending</x:v>
      </x:c>
    </x:row>
    <x:row r="117" ht="28" customHeight="1">
      <x:c r="A117" s="7" t="str">
        <x:v>Effect</x:v>
      </x:c>
      <x:c r="B117" s="7" t="str">
        <x:v>effect_m3_art_sp_resonance</x:v>
      </x:c>
      <x:c r="C117" s="7" t="str">
        <x:v>projectile_speed_units_per_sec</x:v>
      </x:c>
      <x:c r="D117" s="18"/>
      <x:c r="E117" s="7" t="str">
        <x:v>pending</x:v>
      </x:c>
      <x:c r="F117" s="7" t="str">
        <x:v>balance_pending</x:v>
      </x:c>
    </x:row>
    <x:row r="118" ht="28" customHeight="1">
      <x:c r="A118" s="7" t="str">
        <x:v>Effect</x:v>
      </x:c>
      <x:c r="B118" s="7" t="str">
        <x:v>effect_m3_art_sp_resonance</x:v>
      </x:c>
      <x:c r="C118" s="7" t="str">
        <x:v>duration_sec</x:v>
      </x:c>
      <x:c r="D118" s="18"/>
      <x:c r="E118" s="7" t="str">
        <x:v>pending</x:v>
      </x:c>
      <x:c r="F118" s="7" t="str">
        <x:v>balance_pending</x:v>
      </x:c>
    </x:row>
    <x:row r="119" ht="28" customHeight="1">
      <x:c r="A119" s="7" t="str">
        <x:v>Upgrade</x:v>
      </x:c>
      <x:c r="B119" s="7" t="str">
        <x:v>upgrade_m3_art_sp</x:v>
      </x:c>
      <x:c r="C119" s="7" t="str">
        <x:v>cost_amount</x:v>
      </x:c>
      <x:c r="D119" s="18"/>
      <x:c r="E119" s="7" t="str">
        <x:v>pending</x:v>
      </x:c>
      <x:c r="F119" s="7" t="str">
        <x:v>balance_pending</x:v>
      </x:c>
    </x:row>
    <x:row r="120" ht="28" customHeight="1">
      <x:c r="A120" s="7" t="str">
        <x:v>Effect</x:v>
      </x:c>
      <x:c r="B120" s="7" t="str">
        <x:v>effect_m3_art_dg_base</x:v>
      </x:c>
      <x:c r="C120" s="7" t="str">
        <x:v>move_distance_units</x:v>
      </x:c>
      <x:c r="D120" s="18"/>
      <x:c r="E120" s="7" t="str">
        <x:v>pending</x:v>
      </x:c>
      <x:c r="F120" s="7" t="str">
        <x:v>balance_pending</x:v>
      </x:c>
    </x:row>
    <x:row r="121" ht="28" customHeight="1">
      <x:c r="A121" s="7" t="str">
        <x:v>Effect</x:v>
      </x:c>
      <x:c r="B121" s="7" t="str">
        <x:v>effect_m3_art_dg_base</x:v>
      </x:c>
      <x:c r="C121" s="7" t="str">
        <x:v>duration_sec</x:v>
      </x:c>
      <x:c r="D121" s="18"/>
      <x:c r="E121" s="7" t="str">
        <x:v>pending</x:v>
      </x:c>
      <x:c r="F121" s="7" t="str">
        <x:v>balance_pending</x:v>
      </x:c>
    </x:row>
    <x:row r="122" ht="28" customHeight="1">
      <x:c r="A122" s="7" t="str">
        <x:v>Effect</x:v>
      </x:c>
      <x:c r="B122" s="7" t="str">
        <x:v>effect_m3_art_dg_base</x:v>
      </x:c>
      <x:c r="C122" s="7" t="str">
        <x:v>damage_coefficient_ratio</x:v>
      </x:c>
      <x:c r="D122" s="18"/>
      <x:c r="E122" s="7" t="str">
        <x:v>pending</x:v>
      </x:c>
      <x:c r="F122" s="7" t="str">
        <x:v>balance_pending</x:v>
      </x:c>
    </x:row>
    <x:row r="123" ht="28" customHeight="1">
      <x:c r="A123" s="7" t="str">
        <x:v>Effect</x:v>
      </x:c>
      <x:c r="B123" s="7" t="str">
        <x:v>effect_m3_art_dg_resonance</x:v>
      </x:c>
      <x:c r="C123" s="7" t="str">
        <x:v>damage_coefficient_ratio</x:v>
      </x:c>
      <x:c r="D123" s="18"/>
      <x:c r="E123" s="7" t="str">
        <x:v>pending</x:v>
      </x:c>
      <x:c r="F123" s="7" t="str">
        <x:v>balance_pending</x:v>
      </x:c>
    </x:row>
    <x:row r="124" ht="28" customHeight="1">
      <x:c r="A124" s="7" t="str">
        <x:v>Effect</x:v>
      </x:c>
      <x:c r="B124" s="7" t="str">
        <x:v>effect_m3_art_dg_resonance</x:v>
      </x:c>
      <x:c r="C124" s="7" t="str">
        <x:v>move_distance_units</x:v>
      </x:c>
      <x:c r="D124" s="18"/>
      <x:c r="E124" s="7" t="str">
        <x:v>pending</x:v>
      </x:c>
      <x:c r="F124" s="7" t="str">
        <x:v>balance_pending</x:v>
      </x:c>
    </x:row>
    <x:row r="125" ht="28" customHeight="1">
      <x:c r="A125" s="7" t="str">
        <x:v>Effect</x:v>
      </x:c>
      <x:c r="B125" s="7" t="str">
        <x:v>effect_m3_art_dg_resonance</x:v>
      </x:c>
      <x:c r="C125" s="7" t="str">
        <x:v>duration_sec</x:v>
      </x:c>
      <x:c r="D125" s="18"/>
      <x:c r="E125" s="7" t="str">
        <x:v>pending</x:v>
      </x:c>
      <x:c r="F125" s="7" t="str">
        <x:v>balance_pending</x:v>
      </x:c>
    </x:row>
    <x:row r="126" ht="28" customHeight="1">
      <x:c r="A126" s="7" t="str">
        <x:v>Upgrade</x:v>
      </x:c>
      <x:c r="B126" s="7" t="str">
        <x:v>upgrade_m3_art_dg</x:v>
      </x:c>
      <x:c r="C126" s="7" t="str">
        <x:v>cost_amount</x:v>
      </x:c>
      <x:c r="D126" s="18"/>
      <x:c r="E126" s="7" t="str">
        <x:v>pending</x:v>
      </x:c>
      <x:c r="F126" s="7" t="str">
        <x:v>balance_pending</x:v>
      </x:c>
    </x:row>
    <x:row r="127" ht="28" customHeight="1">
      <x:c r="A127" s="7" t="str">
        <x:v>Effect</x:v>
      </x:c>
      <x:c r="B127" s="7" t="str">
        <x:v>effect_m3_art_bw_base</x:v>
      </x:c>
      <x:c r="C127" s="7" t="str">
        <x:v>duration_sec</x:v>
      </x:c>
      <x:c r="D127" s="18"/>
      <x:c r="E127" s="7" t="str">
        <x:v>pending</x:v>
      </x:c>
      <x:c r="F127" s="7" t="str">
        <x:v>balance_pending</x:v>
      </x:c>
    </x:row>
    <x:row r="128" ht="28" customHeight="1">
      <x:c r="A128" s="7" t="str">
        <x:v>Effect</x:v>
      </x:c>
      <x:c r="B128" s="7" t="str">
        <x:v>effect_m3_art_bw_base</x:v>
      </x:c>
      <x:c r="C128" s="7" t="str">
        <x:v>damage_coefficient_ratio</x:v>
      </x:c>
      <x:c r="D128" s="18"/>
      <x:c r="E128" s="7" t="str">
        <x:v>pending</x:v>
      </x:c>
      <x:c r="F128" s="7" t="str">
        <x:v>balance_pending</x:v>
      </x:c>
    </x:row>
    <x:row r="129" ht="28" customHeight="1">
      <x:c r="A129" s="7" t="str">
        <x:v>Effect</x:v>
      </x:c>
      <x:c r="B129" s="7" t="str">
        <x:v>effect_m3_art_bw_resonance</x:v>
      </x:c>
      <x:c r="C129" s="7" t="str">
        <x:v>damage_coefficient_ratio</x:v>
      </x:c>
      <x:c r="D129" s="18"/>
      <x:c r="E129" s="7" t="str">
        <x:v>pending</x:v>
      </x:c>
      <x:c r="F129" s="7" t="str">
        <x:v>balance_pending</x:v>
      </x:c>
    </x:row>
    <x:row r="130" ht="28" customHeight="1">
      <x:c r="A130" s="7" t="str">
        <x:v>Effect</x:v>
      </x:c>
      <x:c r="B130" s="7" t="str">
        <x:v>effect_m3_art_bw_resonance</x:v>
      </x:c>
      <x:c r="C130" s="7" t="str">
        <x:v>range_units</x:v>
      </x:c>
      <x:c r="D130" s="18"/>
      <x:c r="E130" s="7" t="str">
        <x:v>pending</x:v>
      </x:c>
      <x:c r="F130" s="7" t="str">
        <x:v>balance_pending</x:v>
      </x:c>
    </x:row>
    <x:row r="131" ht="28" customHeight="1">
      <x:c r="A131" s="7" t="str">
        <x:v>Effect</x:v>
      </x:c>
      <x:c r="B131" s="7" t="str">
        <x:v>effect_m3_art_bw_resonance</x:v>
      </x:c>
      <x:c r="C131" s="7" t="str">
        <x:v>projectile_speed_units_per_sec</x:v>
      </x:c>
      <x:c r="D131" s="18"/>
      <x:c r="E131" s="7" t="str">
        <x:v>pending</x:v>
      </x:c>
      <x:c r="F131" s="7" t="str">
        <x:v>balance_pending</x:v>
      </x:c>
    </x:row>
    <x:row r="132" ht="28" customHeight="1">
      <x:c r="A132" s="7" t="str">
        <x:v>Effect</x:v>
      </x:c>
      <x:c r="B132" s="7" t="str">
        <x:v>effect_m3_art_bw_resonance</x:v>
      </x:c>
      <x:c r="C132" s="7" t="str">
        <x:v>cooldown_sec</x:v>
      </x:c>
      <x:c r="D132" s="18"/>
      <x:c r="E132" s="7" t="str">
        <x:v>pending</x:v>
      </x:c>
      <x:c r="F132" s="7" t="str">
        <x:v>balance_pending</x:v>
      </x:c>
    </x:row>
    <x:row r="133" ht="28" customHeight="1">
      <x:c r="A133" s="7" t="str">
        <x:v>Upgrade</x:v>
      </x:c>
      <x:c r="B133" s="7" t="str">
        <x:v>upgrade_m3_art_bw</x:v>
      </x:c>
      <x:c r="C133" s="7" t="str">
        <x:v>cost_amount</x:v>
      </x:c>
      <x:c r="D133" s="18"/>
      <x:c r="E133" s="7" t="str">
        <x:v>pending</x:v>
      </x:c>
      <x:c r="F133" s="7" t="str">
        <x:v>balance_pending</x:v>
      </x:c>
    </x:row>
    <x:row r="134" ht="28" customHeight="1">
      <x:c r="A134" s="7" t="str">
        <x:v>Effect</x:v>
      </x:c>
      <x:c r="B134" s="7" t="str">
        <x:v>effect_m3_ska_bw_base</x:v>
      </x:c>
      <x:c r="C134" s="7" t="str">
        <x:v>move_distance_units</x:v>
      </x:c>
      <x:c r="D134" s="18"/>
      <x:c r="E134" s="7" t="str">
        <x:v>pending</x:v>
      </x:c>
      <x:c r="F134" s="7" t="str">
        <x:v>balance_pending</x:v>
      </x:c>
    </x:row>
    <x:row r="135" ht="28" customHeight="1">
      <x:c r="A135" s="7" t="str">
        <x:v>Effect</x:v>
      </x:c>
      <x:c r="B135" s="7" t="str">
        <x:v>effect_m3_ska_bw_base</x:v>
      </x:c>
      <x:c r="C135" s="7" t="str">
        <x:v>damage_coefficient_ratio</x:v>
      </x:c>
      <x:c r="D135" s="18"/>
      <x:c r="E135" s="7" t="str">
        <x:v>pending</x:v>
      </x:c>
      <x:c r="F135" s="7" t="str">
        <x:v>balance_pending</x:v>
      </x:c>
    </x:row>
    <x:row r="136" ht="28" customHeight="1">
      <x:c r="A136" s="7" t="str">
        <x:v>Effect</x:v>
      </x:c>
      <x:c r="B136" s="7" t="str">
        <x:v>effect_m3_ska_bw_resonance</x:v>
      </x:c>
      <x:c r="C136" s="7" t="str">
        <x:v>duration_sec</x:v>
      </x:c>
      <x:c r="D136" s="18"/>
      <x:c r="E136" s="7" t="str">
        <x:v>pending</x:v>
      </x:c>
      <x:c r="F136" s="7" t="str">
        <x:v>balance_pending</x:v>
      </x:c>
    </x:row>
    <x:row r="137" ht="28" customHeight="1">
      <x:c r="A137" s="7" t="str">
        <x:v>Effect</x:v>
      </x:c>
      <x:c r="B137" s="7" t="str">
        <x:v>effect_m3_ska_bw_resonance</x:v>
      </x:c>
      <x:c r="C137" s="7" t="str">
        <x:v>radius_units</x:v>
      </x:c>
      <x:c r="D137" s="18"/>
      <x:c r="E137" s="7" t="str">
        <x:v>pending</x:v>
      </x:c>
      <x:c r="F137" s="7" t="str">
        <x:v>balance_pending</x:v>
      </x:c>
    </x:row>
    <x:row r="138" ht="28" customHeight="1">
      <x:c r="A138" s="7" t="str">
        <x:v>Effect</x:v>
      </x:c>
      <x:c r="B138" s="7" t="str">
        <x:v>effect_m3_ska_bw_resonance</x:v>
      </x:c>
      <x:c r="C138" s="7" t="str">
        <x:v>slow_ratio</x:v>
      </x:c>
      <x:c r="D138" s="18"/>
      <x:c r="E138" s="7" t="str">
        <x:v>pending</x:v>
      </x:c>
      <x:c r="F138" s="7" t="str">
        <x:v>balance_pending</x:v>
      </x:c>
    </x:row>
    <x:row r="139" ht="28" customHeight="1">
      <x:c r="A139" s="7" t="str">
        <x:v>Effect</x:v>
      </x:c>
      <x:c r="B139" s="7" t="str">
        <x:v>effect_m3_ska_bw_resonance</x:v>
      </x:c>
      <x:c r="C139" s="7" t="str">
        <x:v>damage_coefficient_ratio</x:v>
      </x:c>
      <x:c r="D139" s="18"/>
      <x:c r="E139" s="7" t="str">
        <x:v>pending</x:v>
      </x:c>
      <x:c r="F139" s="7" t="str">
        <x:v>balance_pending</x:v>
      </x:c>
    </x:row>
    <x:row r="140" ht="28" customHeight="1">
      <x:c r="A140" s="7" t="str">
        <x:v>Effect</x:v>
      </x:c>
      <x:c r="B140" s="7" t="str">
        <x:v>effect_m3_ska_bw_resonance</x:v>
      </x:c>
      <x:c r="C140" s="7" t="str">
        <x:v>max_area_count</x:v>
      </x:c>
      <x:c r="D140" s="18"/>
      <x:c r="E140" s="7" t="str">
        <x:v>pending</x:v>
      </x:c>
      <x:c r="F140" s="7" t="str">
        <x:v>balance_pending</x:v>
      </x:c>
    </x:row>
    <x:row r="141" ht="28" customHeight="1">
      <x:c r="A141" s="7" t="str">
        <x:v>Upgrade</x:v>
      </x:c>
      <x:c r="B141" s="7" t="str">
        <x:v>upgrade_m3_ska_bw</x:v>
      </x:c>
      <x:c r="C141" s="7" t="str">
        <x:v>cost_amount</x:v>
      </x:c>
      <x:c r="D141" s="18"/>
      <x:c r="E141" s="7" t="str">
        <x:v>pending</x:v>
      </x:c>
      <x:c r="F141" s="7" t="str">
        <x:v>balance_pending</x:v>
      </x:c>
    </x:row>
    <x:row r="142" ht="28" customHeight="1">
      <x:c r="A142" s="7" t="str">
        <x:v>Effect</x:v>
      </x:c>
      <x:c r="B142" s="7" t="str">
        <x:v>effect_m3_ska_st_base</x:v>
      </x:c>
      <x:c r="C142" s="7" t="str">
        <x:v>timing_window_sec</x:v>
      </x:c>
      <x:c r="D142" s="18"/>
      <x:c r="E142" s="7" t="str">
        <x:v>pending</x:v>
      </x:c>
      <x:c r="F142" s="7" t="str">
        <x:v>balance_pending</x:v>
      </x:c>
    </x:row>
    <x:row r="143" ht="28" customHeight="1">
      <x:c r="A143" s="7" t="str">
        <x:v>Effect</x:v>
      </x:c>
      <x:c r="B143" s="7" t="str">
        <x:v>effect_m3_ska_st_base</x:v>
      </x:c>
      <x:c r="C143" s="7" t="str">
        <x:v>damage_coefficient_ratio</x:v>
      </x:c>
      <x:c r="D143" s="18"/>
      <x:c r="E143" s="7" t="str">
        <x:v>pending</x:v>
      </x:c>
      <x:c r="F143" s="7" t="str">
        <x:v>balance_pending</x:v>
      </x:c>
    </x:row>
    <x:row r="144" ht="28" customHeight="1">
      <x:c r="A144" s="7" t="str">
        <x:v>Effect</x:v>
      </x:c>
      <x:c r="B144" s="7" t="str">
        <x:v>effect_m3_ska_st_resonance</x:v>
      </x:c>
      <x:c r="C144" s="7" t="str">
        <x:v>duration_sec</x:v>
      </x:c>
      <x:c r="D144" s="18"/>
      <x:c r="E144" s="7" t="str">
        <x:v>pending</x:v>
      </x:c>
      <x:c r="F144" s="7" t="str">
        <x:v>balance_pending</x:v>
      </x:c>
    </x:row>
    <x:row r="145" ht="28" customHeight="1">
      <x:c r="A145" s="7" t="str">
        <x:v>Effect</x:v>
      </x:c>
      <x:c r="B145" s="7" t="str">
        <x:v>effect_m3_ska_st_resonance</x:v>
      </x:c>
      <x:c r="C145" s="7" t="str">
        <x:v>range_units</x:v>
      </x:c>
      <x:c r="D145" s="18"/>
      <x:c r="E145" s="7" t="str">
        <x:v>pending</x:v>
      </x:c>
      <x:c r="F145" s="7" t="str">
        <x:v>balance_pending</x:v>
      </x:c>
    </x:row>
    <x:row r="146" ht="28" customHeight="1">
      <x:c r="A146" s="7" t="str">
        <x:v>Effect</x:v>
      </x:c>
      <x:c r="B146" s="7" t="str">
        <x:v>effect_m3_ska_st_resonance</x:v>
      </x:c>
      <x:c r="C146" s="7" t="str">
        <x:v>slow_ratio</x:v>
      </x:c>
      <x:c r="D146" s="18"/>
      <x:c r="E146" s="7" t="str">
        <x:v>pending</x:v>
      </x:c>
      <x:c r="F146" s="7" t="str">
        <x:v>balance_pending</x:v>
      </x:c>
    </x:row>
    <x:row r="147" ht="28" customHeight="1">
      <x:c r="A147" s="7" t="str">
        <x:v>Effect</x:v>
      </x:c>
      <x:c r="B147" s="7" t="str">
        <x:v>effect_m3_ska_st_resonance</x:v>
      </x:c>
      <x:c r="C147" s="7" t="str">
        <x:v>max_area_count</x:v>
      </x:c>
      <x:c r="D147" s="18"/>
      <x:c r="E147" s="7" t="str">
        <x:v>pending</x:v>
      </x:c>
      <x:c r="F147" s="7" t="str">
        <x:v>balance_pending</x:v>
      </x:c>
    </x:row>
    <x:row r="148" ht="28" customHeight="1">
      <x:c r="A148" s="7" t="str">
        <x:v>Effect</x:v>
      </x:c>
      <x:c r="B148" s="7" t="str">
        <x:v>effect_m3_ska_st_resonance</x:v>
      </x:c>
      <x:c r="C148" s="7" t="str">
        <x:v>cooldown_sec</x:v>
      </x:c>
      <x:c r="D148" s="18"/>
      <x:c r="E148" s="7" t="str">
        <x:v>pending</x:v>
      </x:c>
      <x:c r="F148" s="7" t="str">
        <x:v>balance_pending</x:v>
      </x:c>
    </x:row>
    <x:row r="149" ht="28" customHeight="1">
      <x:c r="A149" s="7" t="str">
        <x:v>Effect</x:v>
      </x:c>
      <x:c r="B149" s="7" t="str">
        <x:v>effect_m3_ska_st_resonance</x:v>
      </x:c>
      <x:c r="C149" s="7" t="str">
        <x:v>move_distance_units</x:v>
      </x:c>
      <x:c r="D149" s="18"/>
      <x:c r="E149" s="7" t="str">
        <x:v>pending</x:v>
      </x:c>
      <x:c r="F149" s="7" t="str">
        <x:v>balance_pending</x:v>
      </x:c>
    </x:row>
    <x:row r="150" ht="28" customHeight="1">
      <x:c r="A150" s="7" t="str">
        <x:v>Upgrade</x:v>
      </x:c>
      <x:c r="B150" s="7" t="str">
        <x:v>upgrade_m3_ska_st</x:v>
      </x:c>
      <x:c r="C150" s="7" t="str">
        <x:v>cost_amount</x:v>
      </x:c>
      <x:c r="D150" s="18"/>
      <x:c r="E150" s="7" t="str">
        <x:v>pending</x:v>
      </x:c>
      <x:c r="F150" s="7" t="str">
        <x:v>balance_pending</x:v>
      </x:c>
    </x:row>
    <x:row r="151" ht="28" customHeight="1">
      <x:c r="A151" s="7" t="str">
        <x:v>Weapon</x:v>
      </x:c>
      <x:c r="B151" s="7" t="str">
        <x:v>weapon_spear</x:v>
      </x:c>
      <x:c r="C151" s="7" t="str">
        <x:v>base_attack</x:v>
      </x:c>
      <x:c r="D151" s="18"/>
      <x:c r="E151" s="7" t="str">
        <x:v>pending</x:v>
      </x:c>
      <x:c r="F151" s="7" t="str">
        <x:v>balance_pending</x:v>
      </x:c>
    </x:row>
    <x:row r="152" ht="28" customHeight="1">
      <x:c r="A152" s="7" t="str">
        <x:v>Weapon</x:v>
      </x:c>
      <x:c r="B152" s="7" t="str">
        <x:v>weapon_spear</x:v>
      </x:c>
      <x:c r="C152" s="7" t="str">
        <x:v>attack_move_speed_ratio</x:v>
      </x:c>
      <x:c r="D152" s="18"/>
      <x:c r="E152" s="7" t="str">
        <x:v>pending</x:v>
      </x:c>
      <x:c r="F152" s="7" t="str">
        <x:v>balance_pending</x:v>
      </x:c>
    </x:row>
    <x:row r="153" ht="28" customHeight="1">
      <x:c r="A153" s="7" t="str">
        <x:v>Weapon</x:v>
      </x:c>
      <x:c r="B153" s="7" t="str">
        <x:v>weapon_spear</x:v>
      </x:c>
      <x:c r="C153" s="7" t="str">
        <x:v>mana_cost</x:v>
      </x:c>
      <x:c r="D153" s="18"/>
      <x:c r="E153" s="7" t="str">
        <x:v>pending</x:v>
      </x:c>
      <x:c r="F153" s="7" t="str">
        <x:v>balance_pending</x:v>
      </x:c>
    </x:row>
    <x:row r="154" ht="28" customHeight="1">
      <x:c r="A154" s="7" t="str">
        <x:v>Weapon</x:v>
      </x:c>
      <x:c r="B154" s="7" t="str">
        <x:v>weapon_spear</x:v>
      </x:c>
      <x:c r="C154" s="7" t="str">
        <x:v>combo_end_gap_sec</x:v>
      </x:c>
      <x:c r="D154" s="18"/>
      <x:c r="E154" s="7" t="str">
        <x:v>pending</x:v>
      </x:c>
      <x:c r="F154" s="7" t="str">
        <x:v>balance_pending</x:v>
      </x:c>
    </x:row>
    <x:row r="155" ht="28" customHeight="1">
      <x:c r="A155" s="7" t="str">
        <x:v>Weapon</x:v>
      </x:c>
      <x:c r="B155" s="7" t="str">
        <x:v>weapon_hammer</x:v>
      </x:c>
      <x:c r="C155" s="7" t="str">
        <x:v>base_attack</x:v>
      </x:c>
      <x:c r="D155" s="18"/>
      <x:c r="E155" s="7" t="str">
        <x:v>pending</x:v>
      </x:c>
      <x:c r="F155" s="7" t="str">
        <x:v>balance_pending</x:v>
      </x:c>
    </x:row>
    <x:row r="156" ht="28" customHeight="1">
      <x:c r="A156" s="7" t="str">
        <x:v>Weapon</x:v>
      </x:c>
      <x:c r="B156" s="7" t="str">
        <x:v>weapon_hammer</x:v>
      </x:c>
      <x:c r="C156" s="7" t="str">
        <x:v>attack_move_speed_ratio</x:v>
      </x:c>
      <x:c r="D156" s="18"/>
      <x:c r="E156" s="7" t="str">
        <x:v>pending</x:v>
      </x:c>
      <x:c r="F156" s="7" t="str">
        <x:v>balance_pending</x:v>
      </x:c>
    </x:row>
    <x:row r="157" ht="28" customHeight="1">
      <x:c r="A157" s="7" t="str">
        <x:v>Weapon</x:v>
      </x:c>
      <x:c r="B157" s="7" t="str">
        <x:v>weapon_hammer</x:v>
      </x:c>
      <x:c r="C157" s="7" t="str">
        <x:v>mana_cost</x:v>
      </x:c>
      <x:c r="D157" s="18"/>
      <x:c r="E157" s="7" t="str">
        <x:v>pending</x:v>
      </x:c>
      <x:c r="F157" s="7" t="str">
        <x:v>balance_pending</x:v>
      </x:c>
    </x:row>
    <x:row r="158" ht="28" customHeight="1">
      <x:c r="A158" s="7" t="str">
        <x:v>Weapon</x:v>
      </x:c>
      <x:c r="B158" s="7" t="str">
        <x:v>weapon_hammer</x:v>
      </x:c>
      <x:c r="C158" s="7" t="str">
        <x:v>combo_end_gap_sec</x:v>
      </x:c>
      <x:c r="D158" s="18"/>
      <x:c r="E158" s="7" t="str">
        <x:v>pending</x:v>
      </x:c>
      <x:c r="F158" s="7" t="str">
        <x:v>balance_pending</x:v>
      </x:c>
    </x:row>
    <x:row r="159" ht="28" customHeight="1">
      <x:c r="A159" s="7" t="str">
        <x:v>Weapon</x:v>
      </x:c>
      <x:c r="B159" s="7" t="str">
        <x:v>weapon_greatsword</x:v>
      </x:c>
      <x:c r="C159" s="7" t="str">
        <x:v>base_attack</x:v>
      </x:c>
      <x:c r="D159" s="18"/>
      <x:c r="E159" s="7" t="str">
        <x:v>pending</x:v>
      </x:c>
      <x:c r="F159" s="7" t="str">
        <x:v>balance_pending</x:v>
      </x:c>
    </x:row>
    <x:row r="160" ht="28" customHeight="1">
      <x:c r="A160" s="7" t="str">
        <x:v>Weapon</x:v>
      </x:c>
      <x:c r="B160" s="7" t="str">
        <x:v>weapon_greatsword</x:v>
      </x:c>
      <x:c r="C160" s="7" t="str">
        <x:v>attack_move_speed_ratio</x:v>
      </x:c>
      <x:c r="D160" s="18"/>
      <x:c r="E160" s="7" t="str">
        <x:v>pending</x:v>
      </x:c>
      <x:c r="F160" s="7" t="str">
        <x:v>balance_pending</x:v>
      </x:c>
    </x:row>
    <x:row r="161" ht="28" customHeight="1">
      <x:c r="A161" s="7" t="str">
        <x:v>Weapon</x:v>
      </x:c>
      <x:c r="B161" s="7" t="str">
        <x:v>weapon_greatsword</x:v>
      </x:c>
      <x:c r="C161" s="7" t="str">
        <x:v>mana_cost</x:v>
      </x:c>
      <x:c r="D161" s="18"/>
      <x:c r="E161" s="7" t="str">
        <x:v>pending</x:v>
      </x:c>
      <x:c r="F161" s="7" t="str">
        <x:v>balance_pending</x:v>
      </x:c>
    </x:row>
    <x:row r="162" ht="28" customHeight="1">
      <x:c r="A162" s="7" t="str">
        <x:v>Weapon</x:v>
      </x:c>
      <x:c r="B162" s="7" t="str">
        <x:v>weapon_greatsword</x:v>
      </x:c>
      <x:c r="C162" s="7" t="str">
        <x:v>combo_end_gap_sec</x:v>
      </x:c>
      <x:c r="D162" s="18"/>
      <x:c r="E162" s="7" t="str">
        <x:v>pending</x:v>
      </x:c>
      <x:c r="F162" s="7" t="str">
        <x:v>balance_pending</x:v>
      </x:c>
    </x:row>
    <x:row r="163" ht="28" customHeight="1">
      <x:c r="A163" s="7" t="str">
        <x:v>Weapon</x:v>
      </x:c>
      <x:c r="B163" s="7" t="str">
        <x:v>weapon_dagger</x:v>
      </x:c>
      <x:c r="C163" s="7" t="str">
        <x:v>base_attack</x:v>
      </x:c>
      <x:c r="D163" s="18"/>
      <x:c r="E163" s="7" t="str">
        <x:v>pending</x:v>
      </x:c>
      <x:c r="F163" s="7" t="str">
        <x:v>balance_pending</x:v>
      </x:c>
    </x:row>
    <x:row r="164" ht="28" customHeight="1">
      <x:c r="A164" s="7" t="str">
        <x:v>Weapon</x:v>
      </x:c>
      <x:c r="B164" s="7" t="str">
        <x:v>weapon_dagger</x:v>
      </x:c>
      <x:c r="C164" s="7" t="str">
        <x:v>attack_move_speed_ratio</x:v>
      </x:c>
      <x:c r="D164" s="18"/>
      <x:c r="E164" s="7" t="str">
        <x:v>pending</x:v>
      </x:c>
      <x:c r="F164" s="7" t="str">
        <x:v>balance_pending</x:v>
      </x:c>
    </x:row>
    <x:row r="165" ht="28" customHeight="1">
      <x:c r="A165" s="7" t="str">
        <x:v>Weapon</x:v>
      </x:c>
      <x:c r="B165" s="7" t="str">
        <x:v>weapon_dagger</x:v>
      </x:c>
      <x:c r="C165" s="7" t="str">
        <x:v>mana_cost</x:v>
      </x:c>
      <x:c r="D165" s="18" t="n">
        <x:v>0</x:v>
      </x:c>
      <x:c r="E165" s="7" t="str">
        <x:v>fixed</x:v>
      </x:c>
      <x:c r="F165" s="7" t="str">
        <x:v>design_rule</x:v>
      </x:c>
    </x:row>
    <x:row r="166" ht="28" customHeight="1">
      <x:c r="A166" s="7" t="str">
        <x:v>Weapon</x:v>
      </x:c>
      <x:c r="B166" s="7" t="str">
        <x:v>weapon_dagger</x:v>
      </x:c>
      <x:c r="C166" s="7" t="str">
        <x:v>combo_end_gap_sec</x:v>
      </x:c>
      <x:c r="D166" s="18"/>
      <x:c r="E166" s="7" t="str">
        <x:v>pending</x:v>
      </x:c>
      <x:c r="F166" s="7" t="str">
        <x:v>balance_pending</x:v>
      </x:c>
    </x:row>
    <x:row r="167" ht="28" customHeight="1">
      <x:c r="A167" s="7" t="str">
        <x:v>Weapon</x:v>
      </x:c>
      <x:c r="B167" s="7" t="str">
        <x:v>weapon_sword_shield</x:v>
      </x:c>
      <x:c r="C167" s="7" t="str">
        <x:v>base_attack</x:v>
      </x:c>
      <x:c r="D167" s="18"/>
      <x:c r="E167" s="7" t="str">
        <x:v>pending</x:v>
      </x:c>
      <x:c r="F167" s="7" t="str">
        <x:v>balance_pending</x:v>
      </x:c>
    </x:row>
    <x:row r="168" ht="28" customHeight="1">
      <x:c r="A168" s="7" t="str">
        <x:v>Weapon</x:v>
      </x:c>
      <x:c r="B168" s="7" t="str">
        <x:v>weapon_sword_shield</x:v>
      </x:c>
      <x:c r="C168" s="7" t="str">
        <x:v>attack_move_speed_ratio</x:v>
      </x:c>
      <x:c r="D168" s="18"/>
      <x:c r="E168" s="7" t="str">
        <x:v>pending</x:v>
      </x:c>
      <x:c r="F168" s="7" t="str">
        <x:v>balance_pending</x:v>
      </x:c>
    </x:row>
    <x:row r="169" ht="28" customHeight="1">
      <x:c r="A169" s="7" t="str">
        <x:v>Weapon</x:v>
      </x:c>
      <x:c r="B169" s="7" t="str">
        <x:v>weapon_sword_shield</x:v>
      </x:c>
      <x:c r="C169" s="7" t="str">
        <x:v>mana_cost</x:v>
      </x:c>
      <x:c r="D169" s="18" t="n">
        <x:v>0</x:v>
      </x:c>
      <x:c r="E169" s="7" t="str">
        <x:v>fixed</x:v>
      </x:c>
      <x:c r="F169" s="7" t="str">
        <x:v>design_rule</x:v>
      </x:c>
    </x:row>
    <x:row r="170" ht="28" customHeight="1">
      <x:c r="A170" s="7" t="str">
        <x:v>Weapon</x:v>
      </x:c>
      <x:c r="B170" s="7" t="str">
        <x:v>weapon_sword_shield</x:v>
      </x:c>
      <x:c r="C170" s="7" t="str">
        <x:v>combo_end_gap_sec</x:v>
      </x:c>
      <x:c r="D170" s="18"/>
      <x:c r="E170" s="7" t="str">
        <x:v>pending</x:v>
      </x:c>
      <x:c r="F170" s="7" t="str">
        <x:v>balance_pending</x:v>
      </x:c>
    </x:row>
    <x:row r="171" ht="28" customHeight="1">
      <x:c r="A171" s="7" t="str">
        <x:v>Weapon</x:v>
      </x:c>
      <x:c r="B171" s="7" t="str">
        <x:v>weapon_bow</x:v>
      </x:c>
      <x:c r="C171" s="7" t="str">
        <x:v>base_attack</x:v>
      </x:c>
      <x:c r="D171" s="18"/>
      <x:c r="E171" s="7" t="str">
        <x:v>pending</x:v>
      </x:c>
      <x:c r="F171" s="7" t="str">
        <x:v>balance_pending</x:v>
      </x:c>
    </x:row>
    <x:row r="172" ht="28" customHeight="1">
      <x:c r="A172" s="7" t="str">
        <x:v>Weapon</x:v>
      </x:c>
      <x:c r="B172" s="7" t="str">
        <x:v>weapon_bow</x:v>
      </x:c>
      <x:c r="C172" s="7" t="str">
        <x:v>attack_move_speed_ratio</x:v>
      </x:c>
      <x:c r="D172" s="18"/>
      <x:c r="E172" s="7" t="str">
        <x:v>pending</x:v>
      </x:c>
      <x:c r="F172" s="7" t="str">
        <x:v>balance_pending</x:v>
      </x:c>
    </x:row>
    <x:row r="173" ht="28" customHeight="1">
      <x:c r="A173" s="7" t="str">
        <x:v>Weapon</x:v>
      </x:c>
      <x:c r="B173" s="7" t="str">
        <x:v>weapon_bow</x:v>
      </x:c>
      <x:c r="C173" s="7" t="str">
        <x:v>mana_cost</x:v>
      </x:c>
      <x:c r="D173" s="18" t="n">
        <x:v>0</x:v>
      </x:c>
      <x:c r="E173" s="7" t="str">
        <x:v>fixed</x:v>
      </x:c>
      <x:c r="F173" s="7" t="str">
        <x:v>design_rule</x:v>
      </x:c>
    </x:row>
    <x:row r="174" ht="28" customHeight="1">
      <x:c r="A174" s="7" t="str">
        <x:v>Weapon</x:v>
      </x:c>
      <x:c r="B174" s="7" t="str">
        <x:v>weapon_bow</x:v>
      </x:c>
      <x:c r="C174" s="7" t="str">
        <x:v>magazine_capacity</x:v>
      </x:c>
      <x:c r="D174" s="18"/>
      <x:c r="E174" s="7" t="str">
        <x:v>pending</x:v>
      </x:c>
      <x:c r="F174" s="7" t="str">
        <x:v>balance_pending</x:v>
      </x:c>
    </x:row>
    <x:row r="175" ht="28" customHeight="1">
      <x:c r="A175" s="7" t="str">
        <x:v>Weapon</x:v>
      </x:c>
      <x:c r="B175" s="7" t="str">
        <x:v>weapon_bow</x:v>
      </x:c>
      <x:c r="C175" s="7" t="str">
        <x:v>reload_sec</x:v>
      </x:c>
      <x:c r="D175" s="18"/>
      <x:c r="E175" s="7" t="str">
        <x:v>pending</x:v>
      </x:c>
      <x:c r="F175" s="7" t="str">
        <x:v>balance_pending</x:v>
      </x:c>
    </x:row>
    <x:row r="176" ht="28" customHeight="1">
      <x:c r="A176" s="7" t="str">
        <x:v>Weapon</x:v>
      </x:c>
      <x:c r="B176" s="7" t="str">
        <x:v>weapon_staff</x:v>
      </x:c>
      <x:c r="C176" s="7" t="str">
        <x:v>base_attack</x:v>
      </x:c>
      <x:c r="D176" s="18"/>
      <x:c r="E176" s="7" t="str">
        <x:v>pending</x:v>
      </x:c>
      <x:c r="F176" s="7" t="str">
        <x:v>balance_pending</x:v>
      </x:c>
    </x:row>
    <x:row r="177" ht="28" customHeight="1">
      <x:c r="A177" s="7" t="str">
        <x:v>Weapon</x:v>
      </x:c>
      <x:c r="B177" s="7" t="str">
        <x:v>weapon_staff</x:v>
      </x:c>
      <x:c r="C177" s="7" t="str">
        <x:v>attack_move_speed_ratio</x:v>
      </x:c>
      <x:c r="D177" s="18"/>
      <x:c r="E177" s="7" t="str">
        <x:v>pending</x:v>
      </x:c>
      <x:c r="F177" s="7" t="str">
        <x:v>balance_pending</x:v>
      </x:c>
    </x:row>
    <x:row r="178" ht="28" customHeight="1">
      <x:c r="A178" s="7" t="str">
        <x:v>Weapon</x:v>
      </x:c>
      <x:c r="B178" s="7" t="str">
        <x:v>weapon_staff</x:v>
      </x:c>
      <x:c r="C178" s="7" t="str">
        <x:v>mana_cost</x:v>
      </x:c>
      <x:c r="D178" s="18" t="n">
        <x:v>0</x:v>
      </x:c>
      <x:c r="E178" s="7" t="str">
        <x:v>fixed</x:v>
      </x:c>
      <x:c r="F178" s="7" t="str">
        <x:v>design_rule</x:v>
      </x:c>
    </x:row>
    <x:row r="179" ht="28" customHeight="1">
      <x:c r="A179" s="7" t="str">
        <x:v>Weapon</x:v>
      </x:c>
      <x:c r="B179" s="7" t="str">
        <x:v>weapon_staff</x:v>
      </x:c>
      <x:c r="C179" s="7" t="str">
        <x:v>magazine_capacity</x:v>
      </x:c>
      <x:c r="D179" s="18"/>
      <x:c r="E179" s="7" t="str">
        <x:v>pending</x:v>
      </x:c>
      <x:c r="F179" s="7" t="str">
        <x:v>balance_pending</x:v>
      </x:c>
    </x:row>
    <x:row r="180" ht="28" customHeight="1">
      <x:c r="A180" s="7" t="str">
        <x:v>Weapon</x:v>
      </x:c>
      <x:c r="B180" s="7" t="str">
        <x:v>weapon_staff</x:v>
      </x:c>
      <x:c r="C180" s="7" t="str">
        <x:v>reload_sec</x:v>
      </x:c>
      <x:c r="D180" s="18"/>
      <x:c r="E180" s="7" t="str">
        <x:v>pending</x:v>
      </x:c>
      <x:c r="F180" s="7" t="str">
        <x:v>balance_pending</x:v>
      </x:c>
    </x:row>
  </x:sheetData>
  <x:conditionalFormatting sqref="E2:E180">
    <x:cfRule type="containsText" dxfId="0" priority="1" operator="containsText" text="pending"/>
  </x:conditionalFormatting>
  <x:dataValidations count="1">
    <x:dataValidation type="list" sqref="E2:E180">
      <x:formula1>"pending,provisional,fixed"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002e552e848d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34" hidden="0" customWidth="1"/>
    <x:col min="5" max="5" width="58" hidden="0" customWidth="1"/>
    <x:col min="6" max="6" width="58" hidden="0" customWidth="1"/>
    <x:col min="7" max="7" width="24" hidden="0" customWidth="1"/>
    <x:col min="8" max="8" width="24" hidden="0" customWidth="1"/>
  </x:cols>
  <x:sheetData>
    <x:row r="1" ht="44" customHeight="1">
      <x:c r="A1" s="6" t="str">
        <x:v>card_id</x:v>
      </x:c>
      <x:c r="B1" s="6" t="str">
        <x:v>name_key</x:v>
      </x:c>
      <x:c r="C1" s="6" t="str">
        <x:v>category</x:v>
      </x:c>
      <x:c r="D1" s="6" t="str">
        <x:v>theme_divinity_id</x:v>
      </x:c>
      <x:c r="E1" s="6" t="str">
        <x:v>access_policy</x:v>
      </x:c>
      <x:c r="F1" s="6" t="str">
        <x:v>design_effect</x:v>
      </x:c>
      <x:c r="G1" s="5" t="str">
        <x:v>enabled</x:v>
      </x:c>
      <x:c r="H1" s="6" t="str">
        <x:v>effect_status</x:v>
      </x:c>
    </x:row>
    <x:row r="2" ht="78" customHeight="1">
      <x:c r="A2" s="7" t="str">
        <x:v>card_zeus_general</x:v>
      </x:c>
      <x:c r="B2" s="7" t="str">
        <x:v>name_card_zeus_general</x:v>
      </x:c>
      <x:c r="C2" s="7" t="str">
        <x:v>general</x:v>
      </x:c>
      <x:c r="D2" s="7" t="str">
        <x:v>divinity_zeus</x:v>
      </x:c>
      <x:c r="E2" s="11" t="str">
        <x:v>none</x:v>
      </x:c>
      <x:c r="F2" s="11" t="str">
        <x:v>선고 각인: 직접 타격 표식 준비</x:v>
      </x:c>
      <x:c r="G2" s="10" t="b">
        <x:v>0</x:v>
      </x:c>
      <x:c r="H2" s="7" t="str">
        <x:v>pending</x:v>
      </x:c>
    </x:row>
    <x:row r="3" ht="78" customHeight="1">
      <x:c r="A3" s="7" t="str">
        <x:v>card_zeus_exclusive</x:v>
      </x:c>
      <x:c r="B3" s="7" t="str">
        <x:v>name_card_zeus_exclusive</x:v>
      </x:c>
      <x:c r="C3" s="7" t="str">
        <x:v>divinity</x:v>
      </x:c>
      <x:c r="D3" s="7" t="str">
        <x:v>divinity_zeus</x:v>
      </x:c>
      <x:c r="E3" s="11" t="str">
        <x:v>selected_divinity</x:v>
      </x:c>
      <x:c r="F3" s="11" t="str">
        <x:v>왕의 판결: 허용 집행 대상 확장</x:v>
      </x:c>
      <x:c r="G3" s="10" t="b">
        <x:v>0</x:v>
      </x:c>
      <x:c r="H3" s="7" t="str">
        <x:v>pending</x:v>
      </x:c>
    </x:row>
    <x:row r="4" ht="78" customHeight="1">
      <x:c r="A4" s="7" t="str">
        <x:v>card_thor_general</x:v>
      </x:c>
      <x:c r="B4" s="7" t="str">
        <x:v>name_card_thor_general</x:v>
      </x:c>
      <x:c r="C4" s="7" t="str">
        <x:v>general</x:v>
      </x:c>
      <x:c r="D4" s="7" t="str">
        <x:v>divinity_thor</x:v>
      </x:c>
      <x:c r="E4" s="11" t="str">
        <x:v>none</x:v>
      </x:c>
      <x:c r="F4" s="11" t="str">
        <x:v>무게추: 직접 강타 준비</x:v>
      </x:c>
      <x:c r="G4" s="10" t="b">
        <x:v>0</x:v>
      </x:c>
      <x:c r="H4" s="7" t="str">
        <x:v>pending</x:v>
      </x:c>
    </x:row>
    <x:row r="5" ht="78" customHeight="1">
      <x:c r="A5" s="7" t="str">
        <x:v>card_thor_exclusive</x:v>
      </x:c>
      <x:c r="B5" s="7" t="str">
        <x:v>name_card_thor_exclusive</x:v>
      </x:c>
      <x:c r="C5" s="7" t="str">
        <x:v>divinity</x:v>
      </x:c>
      <x:c r="D5" s="7" t="str">
        <x:v>divinity_thor</x:v>
      </x:c>
      <x:c r="E5" s="11" t="str">
        <x:v>selected_divinity</x:v>
      </x:c>
      <x:c r="F5" s="11" t="str">
        <x:v>귀환의 맹세: 왕복 적중 후 후속 강화</x:v>
      </x:c>
      <x:c r="G5" s="10" t="b">
        <x:v>0</x:v>
      </x:c>
      <x:c r="H5" s="7" t="str">
        <x:v>pending</x:v>
      </x:c>
    </x:row>
    <x:row r="6" ht="78" customHeight="1">
      <x:c r="A6" s="7" t="str">
        <x:v>card_apollo_general</x:v>
      </x:c>
      <x:c r="B6" s="7" t="str">
        <x:v>name_card_apollo_general</x:v>
      </x:c>
      <x:c r="C6" s="7" t="str">
        <x:v>general</x:v>
      </x:c>
      <x:c r="D6" s="7" t="str">
        <x:v>divinity_apollo</x:v>
      </x:c>
      <x:c r="E6" s="11" t="str">
        <x:v>none</x:v>
      </x:c>
      <x:c r="F6" s="11" t="str">
        <x:v>조준 렌즈·박자 표식</x:v>
      </x:c>
      <x:c r="G6" s="10" t="b">
        <x:v>0</x:v>
      </x:c>
      <x:c r="H6" s="7" t="str">
        <x:v>pending</x:v>
      </x:c>
    </x:row>
    <x:row r="7" ht="78" customHeight="1">
      <x:c r="A7" s="7" t="str">
        <x:v>card_apollo_exclusive</x:v>
      </x:c>
      <x:c r="B7" s="7" t="str">
        <x:v>name_card_apollo_exclusive</x:v>
      </x:c>
      <x:c r="C7" s="7" t="str">
        <x:v>divinity</x:v>
      </x:c>
      <x:c r="D7" s="7" t="str">
        <x:v>divinity_apollo</x:v>
      </x:c>
      <x:c r="E7" s="11" t="str">
        <x:v>selected_divinity</x:v>
      </x:c>
      <x:c r="F7" s="11" t="str">
        <x:v>델포이의 응답: 정밀/박자 성공 연계</x:v>
      </x:c>
      <x:c r="G7" s="10" t="b">
        <x:v>0</x:v>
      </x:c>
      <x:c r="H7" s="7" t="str">
        <x:v>pending</x:v>
      </x:c>
    </x:row>
    <x:row r="8" ht="78" customHeight="1">
      <x:c r="A8" s="7" t="str">
        <x:v>card_ares_general</x:v>
      </x:c>
      <x:c r="B8" s="7" t="str">
        <x:v>name_card_ares_general</x:v>
      </x:c>
      <x:c r="C8" s="7" t="str">
        <x:v>general</x:v>
      </x:c>
      <x:c r="D8" s="7" t="str">
        <x:v>divinity_ares</x:v>
      </x:c>
      <x:c r="E8" s="11" t="str">
        <x:v>none</x:v>
      </x:c>
      <x:c r="F8" s="11" t="str">
        <x:v>톱날 각인: 직접 상처</x:v>
      </x:c>
      <x:c r="G8" s="10" t="b">
        <x:v>0</x:v>
      </x:c>
      <x:c r="H8" s="7" t="str">
        <x:v>pending</x:v>
      </x:c>
    </x:row>
    <x:row r="9" ht="78" customHeight="1">
      <x:c r="A9" s="7" t="str">
        <x:v>card_ares_exclusive</x:v>
      </x:c>
      <x:c r="B9" s="7" t="str">
        <x:v>name_card_ares_exclusive</x:v>
      </x:c>
      <x:c r="C9" s="7" t="str">
        <x:v>divinity</x:v>
      </x:c>
      <x:c r="D9" s="7" t="str">
        <x:v>divinity_ares</x:v>
      </x:c>
      <x:c r="E9" s="11" t="str">
        <x:v>selected_divinity</x:v>
      </x:c>
      <x:c r="F9" s="11" t="str">
        <x:v>전장의 공포: 유효 결산 후 압박</x:v>
      </x:c>
      <x:c r="G9" s="10" t="b">
        <x:v>0</x:v>
      </x:c>
      <x:c r="H9" s="7" t="str">
        <x:v>pending</x:v>
      </x:c>
    </x:row>
    <x:row r="10" ht="78" customHeight="1">
      <x:c r="A10" s="7" t="str">
        <x:v>card_hades_general</x:v>
      </x:c>
      <x:c r="B10" s="7" t="str">
        <x:v>name_card_hades_general</x:v>
      </x:c>
      <x:c r="C10" s="7" t="str">
        <x:v>general</x:v>
      </x:c>
      <x:c r="D10" s="7" t="str">
        <x:v>divinity_hades</x:v>
      </x:c>
      <x:c r="E10" s="11" t="str">
        <x:v>none</x:v>
      </x:c>
      <x:c r="F10" s="11" t="str">
        <x:v>봉인 부적: 재적중 준비</x:v>
      </x:c>
      <x:c r="G10" s="10" t="b">
        <x:v>0</x:v>
      </x:c>
      <x:c r="H10" s="7" t="str">
        <x:v>pending</x:v>
      </x:c>
    </x:row>
    <x:row r="11" ht="78" customHeight="1">
      <x:c r="A11" s="7" t="str">
        <x:v>card_hades_exclusive</x:v>
      </x:c>
      <x:c r="B11" s="7" t="str">
        <x:v>name_card_hades_exclusive</x:v>
      </x:c>
      <x:c r="C11" s="7" t="str">
        <x:v>divinity</x:v>
      </x:c>
      <x:c r="D11" s="7" t="str">
        <x:v>divinity_hades</x:v>
      </x:c>
      <x:c r="E11" s="11" t="str">
        <x:v>selected_divinity</x:v>
      </x:c>
      <x:c r="F11" s="11" t="str">
        <x:v>왕의 투구: 은폐·경계 재진입 보상</x:v>
      </x:c>
      <x:c r="G11" s="10" t="b">
        <x:v>0</x:v>
      </x:c>
      <x:c r="H11" s="7" t="str">
        <x:v>pending</x:v>
      </x:c>
    </x:row>
    <x:row r="12" ht="78" customHeight="1">
      <x:c r="A12" s="7" t="str">
        <x:v>card_artemis_general</x:v>
      </x:c>
      <x:c r="B12" s="7" t="str">
        <x:v>name_card_artemis_general</x:v>
      </x:c>
      <x:c r="C12" s="7" t="str">
        <x:v>general</x:v>
      </x:c>
      <x:c r="D12" s="7" t="str">
        <x:v>divinity_artemis</x:v>
      </x:c>
      <x:c r="E12" s="11" t="str">
        <x:v>none</x:v>
      </x:c>
      <x:c r="F12" s="11" t="str">
        <x:v>추적 깃: 표적 유지</x:v>
      </x:c>
      <x:c r="G12" s="10" t="b">
        <x:v>0</x:v>
      </x:c>
      <x:c r="H12" s="7" t="str">
        <x:v>pending</x:v>
      </x:c>
    </x:row>
    <x:row r="13" ht="78" customHeight="1">
      <x:c r="A13" s="7" t="str">
        <x:v>card_artemis_exclusive</x:v>
      </x:c>
      <x:c r="B13" s="7" t="str">
        <x:v>name_card_artemis_exclusive</x:v>
      </x:c>
      <x:c r="C13" s="7" t="str">
        <x:v>divinity</x:v>
      </x:c>
      <x:c r="D13" s="7" t="str">
        <x:v>divinity_artemis</x:v>
      </x:c>
      <x:c r="E13" s="11" t="str">
        <x:v>selected_divinity</x:v>
      </x:c>
      <x:c r="F13" s="11" t="str">
        <x:v>사냥의 동행: 제한된 잔영 연계</x:v>
      </x:c>
      <x:c r="G13" s="10" t="b">
        <x:v>0</x:v>
      </x:c>
      <x:c r="H13" s="7" t="str">
        <x:v>pending</x:v>
      </x:c>
    </x:row>
    <x:row r="14" ht="78" customHeight="1">
      <x:c r="A14" s="7" t="str">
        <x:v>card_skadi_general</x:v>
      </x:c>
      <x:c r="B14" s="7" t="str">
        <x:v>name_card_skadi_general</x:v>
      </x:c>
      <x:c r="C14" s="7" t="str">
        <x:v>general</x:v>
      </x:c>
      <x:c r="D14" s="7" t="str">
        <x:v>divinity_skadi</x:v>
      </x:c>
      <x:c r="E14" s="11" t="str">
        <x:v>none</x:v>
      </x:c>
      <x:c r="F14" s="11" t="str">
        <x:v>산행 매듭: 이동 준비</x:v>
      </x:c>
      <x:c r="G14" s="10" t="b">
        <x:v>0</x:v>
      </x:c>
      <x:c r="H14" s="7" t="str">
        <x:v>pending</x:v>
      </x:c>
    </x:row>
    <x:row r="15" ht="78" customHeight="1">
      <x:c r="A15" s="7" t="str">
        <x:v>card_skadi_exclusive</x:v>
      </x:c>
      <x:c r="B15" s="7" t="str">
        <x:v>name_card_skadi_exclusive</x:v>
      </x:c>
      <x:c r="C15" s="7" t="str">
        <x:v>divinity</x:v>
      </x:c>
      <x:c r="D15" s="7" t="str">
        <x:v>divinity_skadi</x:v>
      </x:c>
      <x:c r="E15" s="11" t="str">
        <x:v>selected_divinity</x:v>
      </x:c>
      <x:c r="F15" s="11" t="str">
        <x:v>설산의 궤적: 이동과 영역 연결</x:v>
      </x:c>
      <x:c r="G15" s="10" t="b">
        <x:v>0</x:v>
      </x:c>
      <x:c r="H15" s="7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dc947c8f90ef471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</x:cols>
  <x:sheetData>
    <x:row r="1" ht="44" customHeight="1">
      <x:c r="A1" s="6" t="str">
        <x:v>name_key</x:v>
      </x:c>
      <x:c r="B1" s="6" t="str">
        <x:v>locale</x:v>
      </x:c>
      <x:c r="C1" s="6" t="str">
        <x:v>text</x:v>
      </x:c>
    </x:row>
    <x:row r="2" ht="28" customHeight="1">
      <x:c r="A2" s="7" t="str">
        <x:v>name_divinity_zeus</x:v>
      </x:c>
      <x:c r="B2" s="7" t="str">
        <x:v>ko</x:v>
      </x:c>
      <x:c r="C2" s="7" t="str">
        <x:v>제우스</x:v>
      </x:c>
    </x:row>
    <x:row r="3" ht="28" customHeight="1">
      <x:c r="A3" s="7" t="str">
        <x:v>name_divinity_thor</x:v>
      </x:c>
      <x:c r="B3" s="7" t="str">
        <x:v>ko</x:v>
      </x:c>
      <x:c r="C3" s="7" t="str">
        <x:v>토르</x:v>
      </x:c>
    </x:row>
    <x:row r="4" ht="28" customHeight="1">
      <x:c r="A4" s="7" t="str">
        <x:v>name_divinity_apollo</x:v>
      </x:c>
      <x:c r="B4" s="7" t="str">
        <x:v>ko</x:v>
      </x:c>
      <x:c r="C4" s="7" t="str">
        <x:v>아폴론</x:v>
      </x:c>
    </x:row>
    <x:row r="5" ht="28" customHeight="1">
      <x:c r="A5" s="7" t="str">
        <x:v>name_divinity_ares</x:v>
      </x:c>
      <x:c r="B5" s="7" t="str">
        <x:v>ko</x:v>
      </x:c>
      <x:c r="C5" s="7" t="str">
        <x:v>아레스</x:v>
      </x:c>
    </x:row>
    <x:row r="6" ht="28" customHeight="1">
      <x:c r="A6" s="7" t="str">
        <x:v>name_divinity_hades</x:v>
      </x:c>
      <x:c r="B6" s="7" t="str">
        <x:v>ko</x:v>
      </x:c>
      <x:c r="C6" s="7" t="str">
        <x:v>하데스</x:v>
      </x:c>
    </x:row>
    <x:row r="7" ht="28" customHeight="1">
      <x:c r="A7" s="7" t="str">
        <x:v>name_divinity_artemis</x:v>
      </x:c>
      <x:c r="B7" s="7" t="str">
        <x:v>ko</x:v>
      </x:c>
      <x:c r="C7" s="7" t="str">
        <x:v>아르테미스</x:v>
      </x:c>
    </x:row>
    <x:row r="8" ht="28" customHeight="1">
      <x:c r="A8" s="7" t="str">
        <x:v>name_divinity_skadi</x:v>
      </x:c>
      <x:c r="B8" s="7" t="str">
        <x:v>ko</x:v>
      </x:c>
      <x:c r="C8" s="7" t="str">
        <x:v>스카디</x:v>
      </x:c>
    </x:row>
    <x:row r="9" ht="28" customHeight="1">
      <x:c r="A9" s="7" t="str">
        <x:v>name_family_spear</x:v>
      </x:c>
      <x:c r="B9" s="7" t="str">
        <x:v>ko</x:v>
      </x:c>
      <x:c r="C9" s="7" t="str">
        <x:v>창</x:v>
      </x:c>
    </x:row>
    <x:row r="10" ht="28" customHeight="1">
      <x:c r="A10" s="7" t="str">
        <x:v>name_family_hammer</x:v>
      </x:c>
      <x:c r="B10" s="7" t="str">
        <x:v>ko</x:v>
      </x:c>
      <x:c r="C10" s="7" t="str">
        <x:v>망치</x:v>
      </x:c>
    </x:row>
    <x:row r="11" ht="28" customHeight="1">
      <x:c r="A11" s="7" t="str">
        <x:v>name_family_greatsword</x:v>
      </x:c>
      <x:c r="B11" s="7" t="str">
        <x:v>ko</x:v>
      </x:c>
      <x:c r="C11" s="7" t="str">
        <x:v>대검</x:v>
      </x:c>
    </x:row>
    <x:row r="12" ht="28" customHeight="1">
      <x:c r="A12" s="7" t="str">
        <x:v>name_family_dagger</x:v>
      </x:c>
      <x:c r="B12" s="7" t="str">
        <x:v>ko</x:v>
      </x:c>
      <x:c r="C12" s="7" t="str">
        <x:v>단검</x:v>
      </x:c>
    </x:row>
    <x:row r="13" ht="28" customHeight="1">
      <x:c r="A13" s="7" t="str">
        <x:v>name_family_sword_shield</x:v>
      </x:c>
      <x:c r="B13" s="7" t="str">
        <x:v>ko</x:v>
      </x:c>
      <x:c r="C13" s="7" t="str">
        <x:v>검과 방패</x:v>
      </x:c>
    </x:row>
    <x:row r="14" ht="28" customHeight="1">
      <x:c r="A14" s="7" t="str">
        <x:v>name_family_bow</x:v>
      </x:c>
      <x:c r="B14" s="7" t="str">
        <x:v>ko</x:v>
      </x:c>
      <x:c r="C14" s="7" t="str">
        <x:v>활</x:v>
      </x:c>
    </x:row>
    <x:row r="15" ht="28" customHeight="1">
      <x:c r="A15" s="7" t="str">
        <x:v>name_family_staff</x:v>
      </x:c>
      <x:c r="B15" s="7" t="str">
        <x:v>ko</x:v>
      </x:c>
      <x:c r="C15" s="7" t="str">
        <x:v>지팡이</x:v>
      </x:c>
    </x:row>
    <x:row r="16" ht="28" customHeight="1">
      <x:c r="A16" s="7" t="str">
        <x:v>name_weapon_spear</x:v>
      </x:c>
      <x:c r="B16" s="7" t="str">
        <x:v>ko</x:v>
      </x:c>
      <x:c r="C16" s="7" t="str">
        <x:v>기본 창</x:v>
      </x:c>
    </x:row>
    <x:row r="17" ht="28" customHeight="1">
      <x:c r="A17" s="7" t="str">
        <x:v>name_weapon_hammer</x:v>
      </x:c>
      <x:c r="B17" s="7" t="str">
        <x:v>ko</x:v>
      </x:c>
      <x:c r="C17" s="7" t="str">
        <x:v>기본 망치</x:v>
      </x:c>
    </x:row>
    <x:row r="18" ht="28" customHeight="1">
      <x:c r="A18" s="7" t="str">
        <x:v>name_weapon_greatsword</x:v>
      </x:c>
      <x:c r="B18" s="7" t="str">
        <x:v>ko</x:v>
      </x:c>
      <x:c r="C18" s="7" t="str">
        <x:v>기본 대검</x:v>
      </x:c>
    </x:row>
    <x:row r="19" ht="28" customHeight="1">
      <x:c r="A19" s="7" t="str">
        <x:v>name_weapon_dagger</x:v>
      </x:c>
      <x:c r="B19" s="7" t="str">
        <x:v>ko</x:v>
      </x:c>
      <x:c r="C19" s="7" t="str">
        <x:v>기본 단검</x:v>
      </x:c>
    </x:row>
    <x:row r="20" ht="28" customHeight="1">
      <x:c r="A20" s="7" t="str">
        <x:v>name_weapon_sword_shield</x:v>
      </x:c>
      <x:c r="B20" s="7" t="str">
        <x:v>ko</x:v>
      </x:c>
      <x:c r="C20" s="7" t="str">
        <x:v>기본 검과 방패</x:v>
      </x:c>
    </x:row>
    <x:row r="21" ht="28" customHeight="1">
      <x:c r="A21" s="7" t="str">
        <x:v>name_weapon_bow</x:v>
      </x:c>
      <x:c r="B21" s="7" t="str">
        <x:v>ko</x:v>
      </x:c>
      <x:c r="C21" s="7" t="str">
        <x:v>기본 활</x:v>
      </x:c>
    </x:row>
    <x:row r="22" ht="28" customHeight="1">
      <x:c r="A22" s="7" t="str">
        <x:v>name_weapon_staff</x:v>
      </x:c>
      <x:c r="B22" s="7" t="str">
        <x:v>ko</x:v>
      </x:c>
      <x:c r="C22" s="7" t="str">
        <x:v>기본 지팡이</x:v>
      </x:c>
    </x:row>
    <x:row r="23" ht="28" customHeight="1">
      <x:c r="A23" s="7" t="str">
        <x:v>name_upgrade_m2_sp_line</x:v>
      </x:c>
      <x:c r="B23" s="7" t="str">
        <x:v>ko</x:v>
      </x:c>
      <x:c r="C23" s="7" t="str">
        <x:v>선고창</x:v>
      </x:c>
    </x:row>
    <x:row r="24" ht="28" customHeight="1">
      <x:c r="A24" s="7" t="str">
        <x:v>name_upgrade_m2_sp_pursuit</x:v>
      </x:c>
      <x:c r="B24" s="7" t="str">
        <x:v>ko</x:v>
      </x:c>
      <x:c r="C24" s="7" t="str">
        <x:v>추렵창</x:v>
      </x:c>
    </x:row>
    <x:row r="25" ht="28" customHeight="1">
      <x:c r="A25" s="7" t="str">
        <x:v>name_upgrade_m2_hm_return</x:v>
      </x:c>
      <x:c r="B25" s="7" t="str">
        <x:v>ko</x:v>
      </x:c>
      <x:c r="C25" s="7" t="str">
        <x:v>귀환추</x:v>
      </x:c>
    </x:row>
    <x:row r="26" ht="28" customHeight="1">
      <x:c r="A26" s="7" t="str">
        <x:v>name_upgrade_m2_hm_impact</x:v>
      </x:c>
      <x:c r="B26" s="7" t="str">
        <x:v>ko</x:v>
      </x:c>
      <x:c r="C26" s="7" t="str">
        <x:v>축력추</x:v>
      </x:c>
    </x:row>
    <x:row r="27" ht="28" customHeight="1">
      <x:c r="A27" s="7" t="str">
        <x:v>name_upgrade_m2_gs_seal</x:v>
      </x:c>
      <x:c r="B27" s="7" t="str">
        <x:v>ko</x:v>
      </x:c>
      <x:c r="C27" s="7" t="str">
        <x:v>봉인대검</x:v>
      </x:c>
    </x:row>
    <x:row r="28" ht="28" customHeight="1">
      <x:c r="A28" s="7" t="str">
        <x:v>name_upgrade_m2_dg_stalk</x:v>
      </x:c>
      <x:c r="B28" s="7" t="str">
        <x:v>ko</x:v>
      </x:c>
      <x:c r="C28" s="7" t="str">
        <x:v>잠행단검</x:v>
      </x:c>
    </x:row>
    <x:row r="29" ht="28" customHeight="1">
      <x:c r="A29" s="7" t="str">
        <x:v>name_upgrade_m2_ss_counter</x:v>
      </x:c>
      <x:c r="B29" s="7" t="str">
        <x:v>ko</x:v>
      </x:c>
      <x:c r="C29" s="7" t="str">
        <x:v>반격검방</x:v>
      </x:c>
    </x:row>
    <x:row r="30" ht="28" customHeight="1">
      <x:c r="A30" s="7" t="str">
        <x:v>name_upgrade_m2_bw_aim</x:v>
      </x:c>
      <x:c r="B30" s="7" t="str">
        <x:v>ko</x:v>
      </x:c>
      <x:c r="C30" s="7" t="str">
        <x:v>조준궁</x:v>
      </x:c>
    </x:row>
    <x:row r="31" ht="28" customHeight="1">
      <x:c r="A31" s="7" t="str">
        <x:v>name_upgrade_m2_bw_move</x:v>
      </x:c>
      <x:c r="B31" s="7" t="str">
        <x:v>ko</x:v>
      </x:c>
      <x:c r="C31" s="7" t="str">
        <x:v>이동사냥궁</x:v>
      </x:c>
    </x:row>
    <x:row r="32" ht="28" customHeight="1">
      <x:c r="A32" s="7" t="str">
        <x:v>name_upgrade_m2_st_cadence</x:v>
      </x:c>
      <x:c r="B32" s="7" t="str">
        <x:v>ko</x:v>
      </x:c>
      <x:c r="C32" s="7" t="str">
        <x:v>응답봉</x:v>
      </x:c>
    </x:row>
    <x:row r="33" ht="28" customHeight="1">
      <x:c r="A33" s="7" t="str">
        <x:v>name_upgrade_m3_zeu_sp</x:v>
      </x:c>
      <x:c r="B33" s="7" t="str">
        <x:v>ko</x:v>
      </x:c>
      <x:c r="C33" s="7" t="str">
        <x:v>천벌의 창</x:v>
      </x:c>
    </x:row>
    <x:row r="34" ht="28" customHeight="1">
      <x:c r="A34" s="7" t="str">
        <x:v>name_upgrade_m3_zeu_hm</x:v>
      </x:c>
      <x:c r="B34" s="7" t="str">
        <x:v>ko</x:v>
      </x:c>
      <x:c r="C34" s="7" t="str">
        <x:v>티탄 심판추</x:v>
      </x:c>
    </x:row>
    <x:row r="35" ht="28" customHeight="1">
      <x:c r="A35" s="7" t="str">
        <x:v>name_upgrade_m3_zeu_ss</x:v>
      </x:c>
      <x:c r="B35" s="7" t="str">
        <x:v>ko</x:v>
      </x:c>
      <x:c r="C35" s="7" t="str">
        <x:v>폭풍왕의 검과 방패</x:v>
      </x:c>
    </x:row>
    <x:row r="36" ht="28" customHeight="1">
      <x:c r="A36" s="7" t="str">
        <x:v>name_upgrade_m3_tho_hm_r</x:v>
      </x:c>
      <x:c r="B36" s="7" t="str">
        <x:v>ko</x:v>
      </x:c>
      <x:c r="C36" s="7" t="str">
        <x:v>묠니르</x:v>
      </x:c>
    </x:row>
    <x:row r="37" ht="28" customHeight="1">
      <x:c r="A37" s="7" t="str">
        <x:v>name_upgrade_m3_tho_hm_i</x:v>
      </x:c>
      <x:c r="B37" s="7" t="str">
        <x:v>ko</x:v>
      </x:c>
      <x:c r="C37" s="7" t="str">
        <x:v>거인 분쇄추</x:v>
      </x:c>
    </x:row>
    <x:row r="38" ht="28" customHeight="1">
      <x:c r="A38" s="7" t="str">
        <x:v>name_upgrade_m3_apo_sp</x:v>
      </x:c>
      <x:c r="B38" s="7" t="str">
        <x:v>ko</x:v>
      </x:c>
      <x:c r="C38" s="7" t="str">
        <x:v>델포이의 예언창</x:v>
      </x:c>
    </x:row>
    <x:row r="39" ht="28" customHeight="1">
      <x:c r="A39" s="7" t="str">
        <x:v>name_upgrade_m3_apo_bw</x:v>
      </x:c>
      <x:c r="B39" s="7" t="str">
        <x:v>ko</x:v>
      </x:c>
      <x:c r="C39" s="7" t="str">
        <x:v>퓌톤 살해자의 활</x:v>
      </x:c>
    </x:row>
    <x:row r="40" ht="28" customHeight="1">
      <x:c r="A40" s="7" t="str">
        <x:v>name_upgrade_m3_apo_st</x:v>
      </x:c>
      <x:c r="B40" s="7" t="str">
        <x:v>ko</x:v>
      </x:c>
      <x:c r="C40" s="7" t="str">
        <x:v>칠현의 지팡이</x:v>
      </x:c>
    </x:row>
    <x:row r="41" ht="28" customHeight="1">
      <x:c r="A41" s="7" t="str">
        <x:v>name_upgrade_m3_are_sp</x:v>
      </x:c>
      <x:c r="B41" s="7" t="str">
        <x:v>ko</x:v>
      </x:c>
      <x:c r="C41" s="7" t="str">
        <x:v>돌격대의 혈창</x:v>
      </x:c>
    </x:row>
    <x:row r="42" ht="28" customHeight="1">
      <x:c r="A42" s="7" t="str">
        <x:v>name_upgrade_m3_are_gs</x:v>
      </x:c>
      <x:c r="B42" s="7" t="str">
        <x:v>ko</x:v>
      </x:c>
      <x:c r="C42" s="7" t="str">
        <x:v>포보스의 대검</x:v>
      </x:c>
    </x:row>
    <x:row r="43" ht="28" customHeight="1">
      <x:c r="A43" s="7" t="str">
        <x:v>name_upgrade_m3_are_ss</x:v>
      </x:c>
      <x:c r="B43" s="7" t="str">
        <x:v>ko</x:v>
      </x:c>
      <x:c r="C43" s="7" t="str">
        <x:v>데이모스의 검과 방패</x:v>
      </x:c>
    </x:row>
    <x:row r="44" ht="28" customHeight="1">
      <x:c r="A44" s="7" t="str">
        <x:v>name_upgrade_m3_had_gs</x:v>
      </x:c>
      <x:c r="B44" s="7" t="str">
        <x:v>ko</x:v>
      </x:c>
      <x:c r="C44" s="7" t="str">
        <x:v>저승문지기의 대검</x:v>
      </x:c>
    </x:row>
    <x:row r="45" ht="28" customHeight="1">
      <x:c r="A45" s="7" t="str">
        <x:v>name_upgrade_m3_had_dg</x:v>
      </x:c>
      <x:c r="B45" s="7" t="str">
        <x:v>ko</x:v>
      </x:c>
      <x:c r="C45" s="7" t="str">
        <x:v>보이지 않는 왕의 단검</x:v>
      </x:c>
    </x:row>
    <x:row r="46" ht="28" customHeight="1">
      <x:c r="A46" s="7" t="str">
        <x:v>name_upgrade_m3_art_sp</x:v>
      </x:c>
      <x:c r="B46" s="7" t="str">
        <x:v>ko</x:v>
      </x:c>
      <x:c r="C46" s="7" t="str">
        <x:v>숲길 추렵창</x:v>
      </x:c>
    </x:row>
    <x:row r="47" ht="28" customHeight="1">
      <x:c r="A47" s="7" t="str">
        <x:v>name_upgrade_m3_art_dg</x:v>
      </x:c>
      <x:c r="B47" s="7" t="str">
        <x:v>ko</x:v>
      </x:c>
      <x:c r="C47" s="7" t="str">
        <x:v>사냥꾼의 쌍송곳니</x:v>
      </x:c>
    </x:row>
    <x:row r="48" ht="28" customHeight="1">
      <x:c r="A48" s="7" t="str">
        <x:v>name_upgrade_m3_art_bw</x:v>
      </x:c>
      <x:c r="B48" s="7" t="str">
        <x:v>ko</x:v>
      </x:c>
      <x:c r="C48" s="7" t="str">
        <x:v>사냥개의 활</x:v>
      </x:c>
    </x:row>
    <x:row r="49" ht="28" customHeight="1">
      <x:c r="A49" s="7" t="str">
        <x:v>name_upgrade_m3_ska_bw</x:v>
      </x:c>
      <x:c r="B49" s="7" t="str">
        <x:v>ko</x:v>
      </x:c>
      <x:c r="C49" s="7" t="str">
        <x:v>설산 추적궁</x:v>
      </x:c>
    </x:row>
    <x:row r="50" ht="28" customHeight="1">
      <x:c r="A50" s="7" t="str">
        <x:v>name_upgrade_m3_ska_st</x:v>
      </x:c>
      <x:c r="B50" s="7" t="str">
        <x:v>ko</x:v>
      </x:c>
      <x:c r="C50" s="7" t="str">
        <x:v>산바람의 지팡이</x:v>
      </x:c>
    </x:row>
    <x:row r="51" ht="28" customHeight="1">
      <x:c r="A51" s="7" t="str">
        <x:v>name_card_zeus_general</x:v>
      </x:c>
      <x:c r="B51" s="7" t="str">
        <x:v>ko</x:v>
      </x:c>
      <x:c r="C51" s="7" t="str">
        <x:v>선고 각인</x:v>
      </x:c>
    </x:row>
    <x:row r="52" ht="28" customHeight="1">
      <x:c r="A52" s="7" t="str">
        <x:v>name_card_zeus_exclusive</x:v>
      </x:c>
      <x:c r="B52" s="7" t="str">
        <x:v>ko</x:v>
      </x:c>
      <x:c r="C52" s="7" t="str">
        <x:v>왕의 판결</x:v>
      </x:c>
    </x:row>
    <x:row r="53" ht="28" customHeight="1">
      <x:c r="A53" s="7" t="str">
        <x:v>name_card_thor_general</x:v>
      </x:c>
      <x:c r="B53" s="7" t="str">
        <x:v>ko</x:v>
      </x:c>
      <x:c r="C53" s="7" t="str">
        <x:v>무게추</x:v>
      </x:c>
    </x:row>
    <x:row r="54" ht="28" customHeight="1">
      <x:c r="A54" s="7" t="str">
        <x:v>name_card_thor_exclusive</x:v>
      </x:c>
      <x:c r="B54" s="7" t="str">
        <x:v>ko</x:v>
      </x:c>
      <x:c r="C54" s="7" t="str">
        <x:v>귀환의 맹세</x:v>
      </x:c>
    </x:row>
    <x:row r="55" ht="28" customHeight="1">
      <x:c r="A55" s="7" t="str">
        <x:v>name_card_apollo_general</x:v>
      </x:c>
      <x:c r="B55" s="7" t="str">
        <x:v>ko</x:v>
      </x:c>
      <x:c r="C55" s="7" t="str">
        <x:v>조준 렌즈</x:v>
      </x:c>
    </x:row>
    <x:row r="56" ht="28" customHeight="1">
      <x:c r="A56" s="7" t="str">
        <x:v>name_card_apollo_exclusive</x:v>
      </x:c>
      <x:c r="B56" s="7" t="str">
        <x:v>ko</x:v>
      </x:c>
      <x:c r="C56" s="7" t="str">
        <x:v>델포이의 응답</x:v>
      </x:c>
    </x:row>
    <x:row r="57" ht="28" customHeight="1">
      <x:c r="A57" s="7" t="str">
        <x:v>name_card_ares_general</x:v>
      </x:c>
      <x:c r="B57" s="7" t="str">
        <x:v>ko</x:v>
      </x:c>
      <x:c r="C57" s="7" t="str">
        <x:v>톱날 각인</x:v>
      </x:c>
    </x:row>
    <x:row r="58" ht="28" customHeight="1">
      <x:c r="A58" s="7" t="str">
        <x:v>name_card_ares_exclusive</x:v>
      </x:c>
      <x:c r="B58" s="7" t="str">
        <x:v>ko</x:v>
      </x:c>
      <x:c r="C58" s="7" t="str">
        <x:v>전장의 공포</x:v>
      </x:c>
    </x:row>
    <x:row r="59" ht="28" customHeight="1">
      <x:c r="A59" s="7" t="str">
        <x:v>name_card_hades_general</x:v>
      </x:c>
      <x:c r="B59" s="7" t="str">
        <x:v>ko</x:v>
      </x:c>
      <x:c r="C59" s="7" t="str">
        <x:v>봉인 부적</x:v>
      </x:c>
    </x:row>
    <x:row r="60" ht="28" customHeight="1">
      <x:c r="A60" s="7" t="str">
        <x:v>name_card_hades_exclusive</x:v>
      </x:c>
      <x:c r="B60" s="7" t="str">
        <x:v>ko</x:v>
      </x:c>
      <x:c r="C60" s="7" t="str">
        <x:v>왕의 투구</x:v>
      </x:c>
    </x:row>
    <x:row r="61" ht="28" customHeight="1">
      <x:c r="A61" s="7" t="str">
        <x:v>name_card_artemis_general</x:v>
      </x:c>
      <x:c r="B61" s="7" t="str">
        <x:v>ko</x:v>
      </x:c>
      <x:c r="C61" s="7" t="str">
        <x:v>추적 깃</x:v>
      </x:c>
    </x:row>
    <x:row r="62" ht="28" customHeight="1">
      <x:c r="A62" s="7" t="str">
        <x:v>name_card_artemis_exclusive</x:v>
      </x:c>
      <x:c r="B62" s="7" t="str">
        <x:v>ko</x:v>
      </x:c>
      <x:c r="C62" s="7" t="str">
        <x:v>사냥의 동행</x:v>
      </x:c>
    </x:row>
    <x:row r="63" ht="28" customHeight="1">
      <x:c r="A63" s="7" t="str">
        <x:v>name_card_skadi_general</x:v>
      </x:c>
      <x:c r="B63" s="7" t="str">
        <x:v>ko</x:v>
      </x:c>
      <x:c r="C63" s="7" t="str">
        <x:v>산행 매듭</x:v>
      </x:c>
    </x:row>
    <x:row r="64" ht="28" customHeight="1">
      <x:c r="A64" s="7" t="str">
        <x:v>name_card_skadi_exclusive</x:v>
      </x:c>
      <x:c r="B64" s="7" t="str">
        <x:v>ko</x:v>
      </x:c>
      <x:c r="C64" s="7" t="str">
        <x:v>설산의 궤적</x:v>
      </x:c>
    </x:row>
  </x:sheetData>
  <x:pageMargins left="0.7" right="0.7" top="0.75" bottom="0.75" header="0.3" footer="0.3"/>
  <x:tableParts count="1">
    <x:tablePart xmlns:r="http://schemas.openxmlformats.org/officeDocument/2006/relationships" r:id="R7bc521b7ac994a3f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44" customHeight="1">
      <x:c r="A1" s="6" t="str">
        <x:v>stage_domain</x:v>
      </x:c>
      <x:c r="B1" s="14" t="str">
        <x:v>stage_index</x:v>
      </x:c>
      <x:c r="C1" s="6" t="str">
        <x:v>name_ko</x:v>
      </x:c>
    </x:row>
    <x:row r="2" ht="28" customHeight="1">
      <x:c r="A2" s="7" t="str">
        <x:v>weapon</x:v>
      </x:c>
      <x:c r="B2" s="15" t="n">
        <x:v>1</x:v>
      </x:c>
      <x:c r="C2" s="7" t="str">
        <x:v>기본 무기</x:v>
      </x:c>
    </x:row>
    <x:row r="3" ht="28" customHeight="1">
      <x:c r="A3" s="7" t="str">
        <x:v>weapon</x:v>
      </x:c>
      <x:c r="B3" s="15" t="n">
        <x:v>2</x:v>
      </x:c>
      <x:c r="C3" s="7" t="str">
        <x:v>신화 양식·기능 분기</x:v>
      </x:c>
    </x:row>
    <x:row r="4" ht="28" customHeight="1">
      <x:c r="A4" s="7" t="str">
        <x:v>weapon</x:v>
      </x:c>
      <x:c r="B4" s="15" t="n">
        <x:v>3</x:v>
      </x:c>
      <x:c r="C4" s="7" t="str">
        <x:v>기능 강화</x:v>
      </x:c>
    </x:row>
    <x:row r="5" ht="28" customHeight="1">
      <x:c r="A5" s="7" t="str">
        <x:v>divinity</x:v>
      </x:c>
      <x:c r="B5" s="15" t="n">
        <x:v>1</x:v>
      </x:c>
      <x:c r="C5" s="7" t="str">
        <x:v>발견</x:v>
      </x:c>
    </x:row>
    <x:row r="6" ht="28" customHeight="1">
      <x:c r="A6" s="7" t="str">
        <x:v>divinity</x:v>
      </x:c>
      <x:c r="B6" s="15" t="n">
        <x:v>2</x:v>
      </x:c>
      <x:c r="C6" s="7" t="str">
        <x:v>각성</x:v>
      </x:c>
    </x:row>
    <x:row r="7" ht="28" customHeight="1">
      <x:c r="A7" s="7" t="str">
        <x:v>divinity</x:v>
      </x:c>
      <x:c r="B7" s="15" t="n">
        <x:v>3</x:v>
      </x:c>
      <x:c r="C7" s="7" t="str">
        <x:v>완성</x:v>
      </x:c>
    </x:row>
  </x:sheetData>
  <x:pageMargins left="0.7" right="0.7" top="0.75" bottom="0.75" header="0.3" footer="0.3"/>
  <x:tableParts count="1">
    <x:tablePart xmlns:r="http://schemas.openxmlformats.org/officeDocument/2006/relationships" r:id="R205d1e628e15456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 ht="44" customHeight="1">
      <x:c r="A1" s="5" t="str">
        <x:v>work_id</x:v>
      </x:c>
      <x:c r="B1" s="5" t="str">
        <x:v>table_name</x:v>
      </x:c>
      <x:c r="C1" s="5" t="str">
        <x:v>remaining</x:v>
      </x:c>
      <x:c r="D1" s="5" t="str">
        <x:v>completion</x:v>
      </x:c>
    </x:row>
    <x:row r="2" ht="78" customHeight="1">
      <x:c r="A2" s="2" t="str">
        <x:v>balance</x:v>
      </x:c>
      <x:c r="B2" s="2" t="str">
        <x:v>NumericValue</x:v>
      </x:c>
      <x:c r="C2" s="16" t="str">
        <x:v>pending 수치</x:v>
      </x:c>
      <x:c r="D2" s="16" t="str">
        <x:v>단위·타입이 정의된 빈 셀에 수치 입력 후 value_status=provisional 또는 fixed</x:v>
      </x:c>
    </x:row>
    <x:row r="3" ht="78" customHeight="1">
      <x:c r="A3" s="2" t="str">
        <x:v>combat_patterns</x:v>
      </x:c>
      <x:c r="B3" s="2" t="str">
        <x:v>AttackPattern</x:v>
      </x:c>
      <x:c r="C3" s="16" t="str">
        <x:v>연격 횟수·AttackStep·AttackShape</x:v>
      </x:c>
      <x:c r="D3" s="16" t="str">
        <x:v>행동과 판정 모양 결정 후 타격별 행 추가. 빈 패턴을 런타임에 사용하지 않음</x:v>
      </x:c>
    </x:row>
    <x:row r="4" ht="78" customHeight="1">
      <x:c r="A4" s="2" t="str">
        <x:v>divinity_conditions</x:v>
      </x:c>
      <x:c r="B4" s="2" t="str">
        <x:v>Divinity</x:v>
      </x:c>
      <x:c r="C4" s="16" t="str">
        <x:v>진입·유지·각성·완성 조건</x:v>
      </x:c>
      <x:c r="D4" s="16" t="str">
        <x:v>ConditionSet/Group/Term과 TagGrant 작성. 빈 세트를 참조하는 가짜 FK 생성 금지</x:v>
      </x:c>
    </x:row>
    <x:row r="5" ht="78" customHeight="1">
      <x:c r="A5" s="2" t="str">
        <x:v>card_effects</x:v>
      </x:c>
      <x:c r="B5" s="2" t="str">
        <x:v>CardCandidate</x:v>
      </x:c>
      <x:c r="C5" s="16" t="str">
        <x:v>카드 효과·태그·등급·풀</x:v>
      </x:c>
      <x:c r="D5" s="16" t="str">
        <x:v>후보 이름을 효과 코드로 해석하지 않음. Card/CardEffect/TagGrant로 승격 후 사용</x:v>
      </x:c>
    </x:row>
    <x:row r="6" ht="78" customHeight="1">
      <x:c r="A6" s="2" t="str">
        <x:v>artisan_costs</x:v>
      </x:c>
      <x:c r="B6" s="2" t="str">
        <x:v>Upgrade</x:v>
      </x:c>
      <x:c r="C6" s="16" t="str">
        <x:v>장인 지원·재화·후보 가중치</x:v>
      </x:c>
      <x:c r="D6" s="16" t="str">
        <x:v>Artisan/RewardPool/통화 ID와 연결한 뒤 비용 활성화</x:v>
      </x:c>
    </x:row>
    <x:row r="7" ht="78" customHeight="1">
      <x:c r="A7" s="2" t="str">
        <x:v>runtime</x:v>
      </x:c>
      <x:c r="B7" s="2" t="str">
        <x:v>Effect</x:v>
      </x:c>
      <x:c r="C7" s="16" t="str">
        <x:v>효과 프로필 구현</x:v>
      </x:c>
      <x:c r="D7" s="16" t="str">
        <x:v>profile_key는 기획 식별자. trigger_event/target_rule/operation의 지원 목록과 원자 효과로 분해</x:v>
      </x:c>
    </x:row>
    <x:row r="8" ht="78" customHeight="1">
      <x:c r="A8" s="2" t="str">
        <x:v>unit_scale</x:v>
      </x:c>
      <x:c r="B8" s="2" t="str">
        <x:v>ParameterDefinition</x:v>
      </x:c>
      <x:c r="C8" s="16" t="str">
        <x:v>world_unit의 Unity 환산</x:v>
      </x:c>
      <x:c r="D8" s="16" t="str">
        <x:v>프로젝트 거리 환산 결정 후 범위·속도 확정</x:v>
      </x:c>
    </x:row>
    <x:row r="9" ht="78" customHeight="1">
      <x:c r="A9" s="2" t="str">
        <x:v>integration</x:v>
      </x:c>
      <x:c r="B9" s="2" t="str">
        <x:v>Weapon</x:v>
      </x:c>
      <x:c r="C9" s="16" t="str">
        <x:v>런타임 테이블 연결</x:v>
      </x:c>
      <x:c r="D9" s="16" t="str">
        <x:v>현행 로더는 CommonInstant/Item/Hero만 지원. 자동 import나 기존 Google Sheets 수정은 수행하지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2e07566d41184a47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58" hidden="0" customWidth="1"/>
  </x:cols>
  <x:sheetData>
    <x:row r="1" ht="44" customHeight="1">
      <x:c r="A1" s="5" t="str">
        <x:v>table_name</x:v>
      </x:c>
      <x:c r="B1" s="5" t="str">
        <x:v>field_name</x:v>
      </x:c>
      <x:c r="C1" s="5" t="str">
        <x:v>data_type</x:v>
      </x:c>
      <x:c r="D1" s="5" t="str">
        <x:v>required</x:v>
      </x:c>
      <x:c r="E1" s="5" t="str">
        <x:v>key_order</x:v>
      </x:c>
      <x:c r="F1" s="5" t="str">
        <x:v>fk_table</x:v>
      </x:c>
      <x:c r="G1" s="5" t="str">
        <x:v>fk_column</x:v>
      </x:c>
      <x:c r="H1" s="5" t="str">
        <x:v>meaning</x:v>
      </x:c>
    </x:row>
    <x:row r="2" ht="78" customHeight="1">
      <x:c r="A2" s="2" t="str">
        <x:v>Culture</x:v>
      </x:c>
      <x:c r="B2" s="2" t="str">
        <x:v>culture_id</x:v>
      </x:c>
      <x:c r="C2" s="2" t="str">
        <x:v>text</x:v>
      </x:c>
      <x:c r="D2" s="10" t="b">
        <x:v>1</x:v>
      </x:c>
      <x:c r="E2" s="2" t="n">
        <x:v>1</x:v>
      </x:c>
      <x:c r="F2" s="2" t="str"/>
      <x:c r="G2" s="2" t="str"/>
      <x:c r="H2" s="16" t="str"/>
    </x:row>
    <x:row r="3" ht="78" customHeight="1">
      <x:c r="A3" s="2" t="str">
        <x:v>Culture</x:v>
      </x:c>
      <x:c r="B3" s="2" t="str">
        <x:v>name_ko</x:v>
      </x:c>
      <x:c r="C3" s="2" t="str">
        <x:v>text</x:v>
      </x:c>
      <x:c r="D3" s="10" t="b">
        <x:v>1</x:v>
      </x:c>
      <x:c r="E3" s="2" t="n">
        <x:v>0</x:v>
      </x:c>
      <x:c r="F3" s="2" t="str"/>
      <x:c r="G3" s="2" t="str"/>
      <x:c r="H3" s="16" t="str"/>
    </x:row>
    <x:row r="4" ht="78" customHeight="1">
      <x:c r="A4" s="2" t="str">
        <x:v>Divinity</x:v>
      </x:c>
      <x:c r="B4" s="2" t="str">
        <x:v>divinity_id</x:v>
      </x:c>
      <x:c r="C4" s="2" t="str">
        <x:v>text</x:v>
      </x:c>
      <x:c r="D4" s="10" t="b">
        <x:v>1</x:v>
      </x:c>
      <x:c r="E4" s="2" t="n">
        <x:v>1</x:v>
      </x:c>
      <x:c r="F4" s="2" t="str"/>
      <x:c r="G4" s="2" t="str"/>
      <x:c r="H4" s="16" t="str"/>
    </x:row>
    <x:row r="5" ht="78" customHeight="1">
      <x:c r="A5" s="2" t="str">
        <x:v>Divinity</x:v>
      </x:c>
      <x:c r="B5" s="2" t="str">
        <x:v>name_key</x:v>
      </x:c>
      <x:c r="C5" s="2" t="str">
        <x:v>text</x:v>
      </x:c>
      <x:c r="D5" s="10" t="b">
        <x:v>1</x:v>
      </x:c>
      <x:c r="E5" s="2" t="n">
        <x:v>0</x:v>
      </x:c>
      <x:c r="F5" s="2" t="str">
        <x:v>Text</x:v>
      </x:c>
      <x:c r="G5" s="2" t="str">
        <x:v>name_key</x:v>
      </x:c>
      <x:c r="H5" s="16" t="str"/>
    </x:row>
    <x:row r="6" ht="78" customHeight="1">
      <x:c r="A6" s="2" t="str">
        <x:v>Divinity</x:v>
      </x:c>
      <x:c r="B6" s="2" t="str">
        <x:v>culture_id</x:v>
      </x:c>
      <x:c r="C6" s="2" t="str">
        <x:v>text</x:v>
      </x:c>
      <x:c r="D6" s="10" t="b">
        <x:v>1</x:v>
      </x:c>
      <x:c r="E6" s="2" t="n">
        <x:v>0</x:v>
      </x:c>
      <x:c r="F6" s="2" t="str">
        <x:v>Culture</x:v>
      </x:c>
      <x:c r="G6" s="2" t="str">
        <x:v>culture_id</x:v>
      </x:c>
      <x:c r="H6" s="16" t="str"/>
    </x:row>
    <x:row r="7" ht="78" customHeight="1">
      <x:c r="A7" s="2" t="str">
        <x:v>Divinity</x:v>
      </x:c>
      <x:c r="B7" s="2" t="str">
        <x:v>theme</x:v>
      </x:c>
      <x:c r="C7" s="2" t="str">
        <x:v>text</x:v>
      </x:c>
      <x:c r="D7" s="10" t="b">
        <x:v>1</x:v>
      </x:c>
      <x:c r="E7" s="2" t="n">
        <x:v>0</x:v>
      </x:c>
      <x:c r="F7" s="2" t="str"/>
      <x:c r="G7" s="2" t="str"/>
      <x:c r="H7" s="16" t="str"/>
    </x:row>
    <x:row r="8" ht="78" customHeight="1">
      <x:c r="A8" s="2" t="str">
        <x:v>Divinity</x:v>
      </x:c>
      <x:c r="B8" s="2" t="str">
        <x:v>myth_basis</x:v>
      </x:c>
      <x:c r="C8" s="2" t="str">
        <x:v>text</x:v>
      </x:c>
      <x:c r="D8" s="10" t="b">
        <x:v>1</x:v>
      </x:c>
      <x:c r="E8" s="2" t="n">
        <x:v>0</x:v>
      </x:c>
      <x:c r="F8" s="2" t="str"/>
      <x:c r="G8" s="2" t="str"/>
      <x:c r="H8" s="16" t="str"/>
    </x:row>
    <x:row r="9" ht="78" customHeight="1">
      <x:c r="A9" s="2" t="str">
        <x:v>Divinity</x:v>
      </x:c>
      <x:c r="B9" s="2" t="str">
        <x:v>adaptation</x:v>
      </x:c>
      <x:c r="C9" s="2" t="str">
        <x:v>text</x:v>
      </x:c>
      <x:c r="D9" s="10" t="b">
        <x:v>1</x:v>
      </x:c>
      <x:c r="E9" s="2" t="n">
        <x:v>0</x:v>
      </x:c>
      <x:c r="F9" s="2" t="str"/>
      <x:c r="G9" s="2" t="str"/>
      <x:c r="H9" s="16" t="str"/>
    </x:row>
    <x:row r="10" ht="78" customHeight="1">
      <x:c r="A10" s="2" t="str">
        <x:v>Divinity</x:v>
      </x:c>
      <x:c r="B10" s="2" t="str">
        <x:v>source_url</x:v>
      </x:c>
      <x:c r="C10" s="2" t="str">
        <x:v>text</x:v>
      </x:c>
      <x:c r="D10" s="10" t="b">
        <x:v>1</x:v>
      </x:c>
      <x:c r="E10" s="2" t="n">
        <x:v>0</x:v>
      </x:c>
      <x:c r="F10" s="2" t="str"/>
      <x:c r="G10" s="2" t="str"/>
      <x:c r="H10" s="16" t="str"/>
    </x:row>
    <x:row r="11" ht="78" customHeight="1">
      <x:c r="A11" s="2" t="str">
        <x:v>Divinity</x:v>
      </x:c>
      <x:c r="B11" s="2" t="str">
        <x:v>condition_status</x:v>
      </x:c>
      <x:c r="C11" s="2" t="str">
        <x:v>text</x:v>
      </x:c>
      <x:c r="D11" s="10" t="b">
        <x:v>1</x:v>
      </x:c>
      <x:c r="E11" s="2" t="n">
        <x:v>0</x:v>
      </x:c>
      <x:c r="F11" s="2" t="str"/>
      <x:c r="G11" s="2" t="str"/>
      <x:c r="H11" s="16" t="str"/>
    </x:row>
    <x:row r="12" ht="78" customHeight="1">
      <x:c r="A12" s="2" t="str">
        <x:v>Divinity</x:v>
      </x:c>
      <x:c r="B12" s="2" t="str">
        <x:v>enabled</x:v>
      </x:c>
      <x:c r="C12" s="2" t="str">
        <x:v>boolean</x:v>
      </x:c>
      <x:c r="D12" s="10" t="b">
        <x:v>1</x:v>
      </x:c>
      <x:c r="E12" s="2" t="n">
        <x:v>0</x:v>
      </x:c>
      <x:c r="F12" s="2" t="str"/>
      <x:c r="G12" s="2" t="str"/>
      <x:c r="H12" s="16" t="str"/>
    </x:row>
    <x:row r="13" ht="78" customHeight="1">
      <x:c r="A13" s="2" t="str">
        <x:v>WeaponFamily</x:v>
      </x:c>
      <x:c r="B13" s="2" t="str">
        <x:v>family_id</x:v>
      </x:c>
      <x:c r="C13" s="2" t="str">
        <x:v>text</x:v>
      </x:c>
      <x:c r="D13" s="10" t="b">
        <x:v>1</x:v>
      </x:c>
      <x:c r="E13" s="2" t="n">
        <x:v>1</x:v>
      </x:c>
      <x:c r="F13" s="2" t="str"/>
      <x:c r="G13" s="2" t="str"/>
      <x:c r="H13" s="16" t="str"/>
    </x:row>
    <x:row r="14" ht="78" customHeight="1">
      <x:c r="A14" s="2" t="str">
        <x:v>WeaponFamily</x:v>
      </x:c>
      <x:c r="B14" s="2" t="str">
        <x:v>name_key</x:v>
      </x:c>
      <x:c r="C14" s="2" t="str">
        <x:v>text</x:v>
      </x:c>
      <x:c r="D14" s="10" t="b">
        <x:v>1</x:v>
      </x:c>
      <x:c r="E14" s="2" t="n">
        <x:v>0</x:v>
      </x:c>
      <x:c r="F14" s="2" t="str">
        <x:v>Text</x:v>
      </x:c>
      <x:c r="G14" s="2" t="str">
        <x:v>name_key</x:v>
      </x:c>
      <x:c r="H14" s="16" t="str"/>
    </x:row>
    <x:row r="15" ht="78" customHeight="1">
      <x:c r="A15" s="2" t="str">
        <x:v>AttackPattern</x:v>
      </x:c>
      <x:c r="B15" s="2" t="str">
        <x:v>pattern_id</x:v>
      </x:c>
      <x:c r="C15" s="2" t="str">
        <x:v>text</x:v>
      </x:c>
      <x:c r="D15" s="10" t="b">
        <x:v>1</x:v>
      </x:c>
      <x:c r="E15" s="2" t="n">
        <x:v>1</x:v>
      </x:c>
      <x:c r="F15" s="2" t="str"/>
      <x:c r="G15" s="2" t="str"/>
      <x:c r="H15" s="16" t="str"/>
    </x:row>
    <x:row r="16" ht="78" customHeight="1">
      <x:c r="A16" s="2" t="str">
        <x:v>AttackPattern</x:v>
      </x:c>
      <x:c r="B16" s="2" t="str">
        <x:v>family_id</x:v>
      </x:c>
      <x:c r="C16" s="2" t="str">
        <x:v>text</x:v>
      </x:c>
      <x:c r="D16" s="10" t="b">
        <x:v>1</x:v>
      </x:c>
      <x:c r="E16" s="2" t="n">
        <x:v>0</x:v>
      </x:c>
      <x:c r="F16" s="2" t="str">
        <x:v>WeaponFamily</x:v>
      </x:c>
      <x:c r="G16" s="2" t="str">
        <x:v>family_id</x:v>
      </x:c>
      <x:c r="H16" s="16" t="str"/>
    </x:row>
    <x:row r="17" ht="78" customHeight="1">
      <x:c r="A17" s="2" t="str">
        <x:v>AttackPattern</x:v>
      </x:c>
      <x:c r="B17" s="2" t="str">
        <x:v>attack_mode</x:v>
      </x:c>
      <x:c r="C17" s="2" t="str">
        <x:v>text</x:v>
      </x:c>
      <x:c r="D17" s="10" t="b">
        <x:v>1</x:v>
      </x:c>
      <x:c r="E17" s="2" t="n">
        <x:v>0</x:v>
      </x:c>
      <x:c r="F17" s="2" t="str"/>
      <x:c r="G17" s="2" t="str"/>
      <x:c r="H17" s="16" t="str"/>
    </x:row>
    <x:row r="18" ht="78" customHeight="1">
      <x:c r="A18" s="2" t="str">
        <x:v>AttackPattern</x:v>
      </x:c>
      <x:c r="B18" s="2" t="str">
        <x:v>special_action</x:v>
      </x:c>
      <x:c r="C18" s="2" t="str">
        <x:v>text</x:v>
      </x:c>
      <x:c r="D18" s="10" t="b">
        <x:v>1</x:v>
      </x:c>
      <x:c r="E18" s="2" t="n">
        <x:v>0</x:v>
      </x:c>
      <x:c r="F18" s="2" t="str"/>
      <x:c r="G18" s="2" t="str"/>
      <x:c r="H18" s="16" t="str"/>
    </x:row>
    <x:row r="19" ht="78" customHeight="1">
      <x:c r="A19" s="2" t="str">
        <x:v>AttackPattern</x:v>
      </x:c>
      <x:c r="B19" s="2" t="str">
        <x:v>action_description</x:v>
      </x:c>
      <x:c r="C19" s="2" t="str">
        <x:v>text</x:v>
      </x:c>
      <x:c r="D19" s="10" t="b">
        <x:v>1</x:v>
      </x:c>
      <x:c r="E19" s="2" t="n">
        <x:v>0</x:v>
      </x:c>
      <x:c r="F19" s="2" t="str"/>
      <x:c r="G19" s="2" t="str"/>
      <x:c r="H19" s="16" t="str"/>
    </x:row>
    <x:row r="20" ht="78" customHeight="1">
      <x:c r="A20" s="2" t="str">
        <x:v>AttackPattern</x:v>
      </x:c>
      <x:c r="B20" s="2" t="str">
        <x:v>implementation_status</x:v>
      </x:c>
      <x:c r="C20" s="2" t="str">
        <x:v>text</x:v>
      </x:c>
      <x:c r="D20" s="10" t="b">
        <x:v>1</x:v>
      </x:c>
      <x:c r="E20" s="2" t="n">
        <x:v>0</x:v>
      </x:c>
      <x:c r="F20" s="2" t="str"/>
      <x:c r="G20" s="2" t="str"/>
      <x:c r="H20" s="16" t="str"/>
    </x:row>
    <x:row r="21" ht="78" customHeight="1">
      <x:c r="A21" s="2" t="str">
        <x:v>Weapon</x:v>
      </x:c>
      <x:c r="B21" s="2" t="str">
        <x:v>weapon_id</x:v>
      </x:c>
      <x:c r="C21" s="2" t="str">
        <x:v>text</x:v>
      </x:c>
      <x:c r="D21" s="10" t="b">
        <x:v>1</x:v>
      </x:c>
      <x:c r="E21" s="2" t="n">
        <x:v>1</x:v>
      </x:c>
      <x:c r="F21" s="2" t="str"/>
      <x:c r="G21" s="2" t="str"/>
      <x:c r="H21" s="16" t="str"/>
    </x:row>
    <x:row r="22" ht="78" customHeight="1">
      <x:c r="A22" s="2" t="str">
        <x:v>Weapon</x:v>
      </x:c>
      <x:c r="B22" s="2" t="str">
        <x:v>name_key</x:v>
      </x:c>
      <x:c r="C22" s="2" t="str">
        <x:v>text</x:v>
      </x:c>
      <x:c r="D22" s="10" t="b">
        <x:v>1</x:v>
      </x:c>
      <x:c r="E22" s="2" t="n">
        <x:v>0</x:v>
      </x:c>
      <x:c r="F22" s="2" t="str">
        <x:v>Text</x:v>
      </x:c>
      <x:c r="G22" s="2" t="str">
        <x:v>name_key</x:v>
      </x:c>
      <x:c r="H22" s="16" t="str"/>
    </x:row>
    <x:row r="23" ht="78" customHeight="1">
      <x:c r="A23" s="2" t="str">
        <x:v>Weapon</x:v>
      </x:c>
      <x:c r="B23" s="2" t="str">
        <x:v>family_id</x:v>
      </x:c>
      <x:c r="C23" s="2" t="str">
        <x:v>text</x:v>
      </x:c>
      <x:c r="D23" s="10" t="b">
        <x:v>1</x:v>
      </x:c>
      <x:c r="E23" s="2" t="n">
        <x:v>0</x:v>
      </x:c>
      <x:c r="F23" s="2" t="str">
        <x:v>WeaponFamily</x:v>
      </x:c>
      <x:c r="G23" s="2" t="str">
        <x:v>family_id</x:v>
      </x:c>
      <x:c r="H23" s="16" t="str"/>
    </x:row>
    <x:row r="24" ht="78" customHeight="1">
      <x:c r="A24" s="2" t="str">
        <x:v>Weapon</x:v>
      </x:c>
      <x:c r="B24" s="2" t="str">
        <x:v>attack_pattern_id</x:v>
      </x:c>
      <x:c r="C24" s="2" t="str">
        <x:v>text</x:v>
      </x:c>
      <x:c r="D24" s="10" t="b">
        <x:v>1</x:v>
      </x:c>
      <x:c r="E24" s="2" t="n">
        <x:v>0</x:v>
      </x:c>
      <x:c r="F24" s="2" t="str">
        <x:v>AttackPattern</x:v>
      </x:c>
      <x:c r="G24" s="2" t="str">
        <x:v>pattern_id</x:v>
      </x:c>
      <x:c r="H24" s="16" t="str"/>
    </x:row>
    <x:row r="25" ht="78" customHeight="1">
      <x:c r="A25" s="2" t="str">
        <x:v>Weapon</x:v>
      </x:c>
      <x:c r="B25" s="2" t="str">
        <x:v>design_key</x:v>
      </x:c>
      <x:c r="C25" s="2" t="str">
        <x:v>text</x:v>
      </x:c>
      <x:c r="D25" s="10" t="b">
        <x:v>1</x:v>
      </x:c>
      <x:c r="E25" s="2" t="n">
        <x:v>0</x:v>
      </x:c>
      <x:c r="F25" s="2" t="str"/>
      <x:c r="G25" s="2" t="str"/>
      <x:c r="H25" s="16" t="str"/>
    </x:row>
    <x:row r="26" ht="78" customHeight="1">
      <x:c r="A26" s="2" t="str">
        <x:v>Weapon</x:v>
      </x:c>
      <x:c r="B26" s="2" t="str">
        <x:v>enabled</x:v>
      </x:c>
      <x:c r="C26" s="2" t="str">
        <x:v>boolean</x:v>
      </x:c>
      <x:c r="D26" s="10" t="b">
        <x:v>1</x:v>
      </x:c>
      <x:c r="E26" s="2" t="n">
        <x:v>0</x:v>
      </x:c>
      <x:c r="F26" s="2" t="str"/>
      <x:c r="G26" s="2" t="str"/>
      <x:c r="H26" s="16" t="str"/>
    </x:row>
    <x:row r="27" ht="78" customHeight="1">
      <x:c r="A27" s="2" t="str">
        <x:v>ParameterDefinition</x:v>
      </x:c>
      <x:c r="B27" s="2" t="str">
        <x:v>parameter_id</x:v>
      </x:c>
      <x:c r="C27" s="2" t="str">
        <x:v>text</x:v>
      </x:c>
      <x:c r="D27" s="10" t="b">
        <x:v>1</x:v>
      </x:c>
      <x:c r="E27" s="2" t="n">
        <x:v>1</x:v>
      </x:c>
      <x:c r="F27" s="2" t="str"/>
      <x:c r="G27" s="2" t="str"/>
      <x:c r="H27" s="16" t="str"/>
    </x:row>
    <x:row r="28" ht="78" customHeight="1">
      <x:c r="A28" s="2" t="str">
        <x:v>ParameterDefinition</x:v>
      </x:c>
      <x:c r="B28" s="2" t="str">
        <x:v>value_type</x:v>
      </x:c>
      <x:c r="C28" s="2" t="str">
        <x:v>text</x:v>
      </x:c>
      <x:c r="D28" s="10" t="b">
        <x:v>1</x:v>
      </x:c>
      <x:c r="E28" s="2" t="n">
        <x:v>0</x:v>
      </x:c>
      <x:c r="F28" s="2" t="str"/>
      <x:c r="G28" s="2" t="str"/>
      <x:c r="H28" s="16" t="str"/>
    </x:row>
    <x:row r="29" ht="78" customHeight="1">
      <x:c r="A29" s="2" t="str">
        <x:v>ParameterDefinition</x:v>
      </x:c>
      <x:c r="B29" s="2" t="str">
        <x:v>unit</x:v>
      </x:c>
      <x:c r="C29" s="2" t="str">
        <x:v>text</x:v>
      </x:c>
      <x:c r="D29" s="10" t="b">
        <x:v>1</x:v>
      </x:c>
      <x:c r="E29" s="2" t="n">
        <x:v>0</x:v>
      </x:c>
      <x:c r="F29" s="2" t="str"/>
      <x:c r="G29" s="2" t="str"/>
      <x:c r="H29" s="16" t="str"/>
    </x:row>
    <x:row r="30" ht="78" customHeight="1">
      <x:c r="A30" s="2" t="str">
        <x:v>ParameterDefinition</x:v>
      </x:c>
      <x:c r="B30" s="2" t="str">
        <x:v>min_value</x:v>
      </x:c>
      <x:c r="C30" s="2" t="str">
        <x:v>number</x:v>
      </x:c>
      <x:c r="D30" s="10" t="b">
        <x:v>1</x:v>
      </x:c>
      <x:c r="E30" s="2" t="n">
        <x:v>0</x:v>
      </x:c>
      <x:c r="F30" s="2" t="str"/>
      <x:c r="G30" s="2" t="str"/>
      <x:c r="H30" s="16" t="str"/>
    </x:row>
    <x:row r="31" ht="78" customHeight="1">
      <x:c r="A31" s="2" t="str">
        <x:v>ParameterDefinition</x:v>
      </x:c>
      <x:c r="B31" s="2" t="str">
        <x:v>max_value</x:v>
      </x:c>
      <x:c r="C31" s="2" t="str">
        <x:v>number</x:v>
      </x:c>
      <x:c r="D31" s="10" t="b">
        <x:v>0</x:v>
      </x:c>
      <x:c r="E31" s="2" t="n">
        <x:v>0</x:v>
      </x:c>
      <x:c r="F31" s="2" t="str"/>
      <x:c r="G31" s="2" t="str"/>
      <x:c r="H31" s="16" t="str"/>
    </x:row>
    <x:row r="32" ht="78" customHeight="1">
      <x:c r="A32" s="2" t="str">
        <x:v>ParameterDefinition</x:v>
      </x:c>
      <x:c r="B32" s="2" t="str">
        <x:v>meaning</x:v>
      </x:c>
      <x:c r="C32" s="2" t="str">
        <x:v>text</x:v>
      </x:c>
      <x:c r="D32" s="10" t="b">
        <x:v>1</x:v>
      </x:c>
      <x:c r="E32" s="2" t="n">
        <x:v>0</x:v>
      </x:c>
      <x:c r="F32" s="2" t="str"/>
      <x:c r="G32" s="2" t="str"/>
      <x:c r="H32" s="16" t="str"/>
    </x:row>
    <x:row r="33" ht="78" customHeight="1">
      <x:c r="A33" s="2" t="str">
        <x:v>ParameterDefinition</x:v>
      </x:c>
      <x:c r="B33" s="2" t="str">
        <x:v>allow_zero</x:v>
      </x:c>
      <x:c r="C33" s="2" t="str">
        <x:v>boolean</x:v>
      </x:c>
      <x:c r="D33" s="10" t="b">
        <x:v>1</x:v>
      </x:c>
      <x:c r="E33" s="2" t="n">
        <x:v>0</x:v>
      </x:c>
      <x:c r="F33" s="2" t="str"/>
      <x:c r="G33" s="2" t="str"/>
      <x:c r="H33" s="16" t="str"/>
    </x:row>
    <x:row r="34" ht="78" customHeight="1">
      <x:c r="A34" s="2" t="str">
        <x:v>Upgrade</x:v>
      </x:c>
      <x:c r="B34" s="2" t="str">
        <x:v>upgrade_id</x:v>
      </x:c>
      <x:c r="C34" s="2" t="str">
        <x:v>text</x:v>
      </x:c>
      <x:c r="D34" s="10" t="b">
        <x:v>1</x:v>
      </x:c>
      <x:c r="E34" s="2" t="n">
        <x:v>1</x:v>
      </x:c>
      <x:c r="F34" s="2" t="str"/>
      <x:c r="G34" s="2" t="str"/>
      <x:c r="H34" s="16" t="str"/>
    </x:row>
    <x:row r="35" ht="78" customHeight="1">
      <x:c r="A35" s="2" t="str">
        <x:v>Upgrade</x:v>
      </x:c>
      <x:c r="B35" s="2" t="str">
        <x:v>name_key</x:v>
      </x:c>
      <x:c r="C35" s="2" t="str">
        <x:v>text</x:v>
      </x:c>
      <x:c r="D35" s="10" t="b">
        <x:v>1</x:v>
      </x:c>
      <x:c r="E35" s="2" t="n">
        <x:v>0</x:v>
      </x:c>
      <x:c r="F35" s="2" t="str">
        <x:v>Text</x:v>
      </x:c>
      <x:c r="G35" s="2" t="str">
        <x:v>name_key</x:v>
      </x:c>
      <x:c r="H35" s="16" t="str"/>
    </x:row>
    <x:row r="36" ht="78" customHeight="1">
      <x:c r="A36" s="2" t="str">
        <x:v>Upgrade</x:v>
      </x:c>
      <x:c r="B36" s="2" t="str">
        <x:v>weapon_family_id</x:v>
      </x:c>
      <x:c r="C36" s="2" t="str">
        <x:v>text</x:v>
      </x:c>
      <x:c r="D36" s="10" t="b">
        <x:v>1</x:v>
      </x:c>
      <x:c r="E36" s="2" t="n">
        <x:v>0</x:v>
      </x:c>
      <x:c r="F36" s="2" t="str">
        <x:v>WeaponFamily</x:v>
      </x:c>
      <x:c r="G36" s="2" t="str">
        <x:v>family_id</x:v>
      </x:c>
      <x:c r="H36" s="16" t="str"/>
    </x:row>
    <x:row r="37" ht="78" customHeight="1">
      <x:c r="A37" s="2" t="str">
        <x:v>Upgrade</x:v>
      </x:c>
      <x:c r="B37" s="2" t="str">
        <x:v>stage_index</x:v>
      </x:c>
      <x:c r="C37" s="2" t="str">
        <x:v>integer</x:v>
      </x:c>
      <x:c r="D37" s="10" t="b">
        <x:v>1</x:v>
      </x:c>
      <x:c r="E37" s="2" t="n">
        <x:v>0</x:v>
      </x:c>
      <x:c r="F37" s="2" t="str"/>
      <x:c r="G37" s="2" t="str"/>
      <x:c r="H37" s="16" t="str"/>
    </x:row>
    <x:row r="38" ht="78" customHeight="1">
      <x:c r="A38" s="2" t="str">
        <x:v>Upgrade</x:v>
      </x:c>
      <x:c r="B38" s="2" t="str">
        <x:v>design_key</x:v>
      </x:c>
      <x:c r="C38" s="2" t="str">
        <x:v>text</x:v>
      </x:c>
      <x:c r="D38" s="10" t="b">
        <x:v>1</x:v>
      </x:c>
      <x:c r="E38" s="2" t="n">
        <x:v>0</x:v>
      </x:c>
      <x:c r="F38" s="2" t="str"/>
      <x:c r="G38" s="2" t="str"/>
      <x:c r="H38" s="16" t="str"/>
    </x:row>
    <x:row r="39" ht="78" customHeight="1">
      <x:c r="A39" s="2" t="str">
        <x:v>Upgrade</x:v>
      </x:c>
      <x:c r="B39" s="2" t="str">
        <x:v>apply_policy</x:v>
      </x:c>
      <x:c r="C39" s="2" t="str">
        <x:v>text</x:v>
      </x:c>
      <x:c r="D39" s="10" t="b">
        <x:v>1</x:v>
      </x:c>
      <x:c r="E39" s="2" t="n">
        <x:v>0</x:v>
      </x:c>
      <x:c r="F39" s="2" t="str"/>
      <x:c r="G39" s="2" t="str"/>
      <x:c r="H39" s="16" t="str"/>
    </x:row>
    <x:row r="40" ht="78" customHeight="1">
      <x:c r="A40" s="2" t="str">
        <x:v>Upgrade</x:v>
      </x:c>
      <x:c r="B40" s="2" t="str">
        <x:v>enabled</x:v>
      </x:c>
      <x:c r="C40" s="2" t="str">
        <x:v>boolean</x:v>
      </x:c>
      <x:c r="D40" s="10" t="b">
        <x:v>1</x:v>
      </x:c>
      <x:c r="E40" s="2" t="n">
        <x:v>0</x:v>
      </x:c>
      <x:c r="F40" s="2" t="str"/>
      <x:c r="G40" s="2" t="str"/>
      <x:c r="H40" s="16" t="str"/>
    </x:row>
    <x:row r="41" ht="78" customHeight="1">
      <x:c r="A41" s="2" t="str">
        <x:v>ProgressionEdge</x:v>
      </x:c>
      <x:c r="B41" s="2" t="str">
        <x:v>edge_id</x:v>
      </x:c>
      <x:c r="C41" s="2" t="str">
        <x:v>text</x:v>
      </x:c>
      <x:c r="D41" s="10" t="b">
        <x:v>1</x:v>
      </x:c>
      <x:c r="E41" s="2" t="n">
        <x:v>1</x:v>
      </x:c>
      <x:c r="F41" s="2" t="str"/>
      <x:c r="G41" s="2" t="str"/>
      <x:c r="H41" s="16" t="str"/>
    </x:row>
    <x:row r="42" ht="78" customHeight="1">
      <x:c r="A42" s="2" t="str">
        <x:v>ProgressionEdge</x:v>
      </x:c>
      <x:c r="B42" s="2" t="str">
        <x:v>from_type</x:v>
      </x:c>
      <x:c r="C42" s="2" t="str">
        <x:v>text</x:v>
      </x:c>
      <x:c r="D42" s="10" t="b">
        <x:v>1</x:v>
      </x:c>
      <x:c r="E42" s="2" t="n">
        <x:v>0</x:v>
      </x:c>
      <x:c r="F42" s="2" t="str"/>
      <x:c r="G42" s="2" t="str"/>
      <x:c r="H42" s="16" t="str"/>
    </x:row>
    <x:row r="43" ht="78" customHeight="1">
      <x:c r="A43" s="2" t="str">
        <x:v>ProgressionEdge</x:v>
      </x:c>
      <x:c r="B43" s="2" t="str">
        <x:v>from_id</x:v>
      </x:c>
      <x:c r="C43" s="2" t="str">
        <x:v>text</x:v>
      </x:c>
      <x:c r="D43" s="10" t="b">
        <x:v>1</x:v>
      </x:c>
      <x:c r="E43" s="2" t="n">
        <x:v>0</x:v>
      </x:c>
      <x:c r="F43" s="2" t="str"/>
      <x:c r="G43" s="2" t="str"/>
      <x:c r="H43" s="16" t="str"/>
    </x:row>
    <x:row r="44" ht="78" customHeight="1">
      <x:c r="A44" s="2" t="str">
        <x:v>ProgressionEdge</x:v>
      </x:c>
      <x:c r="B44" s="2" t="str">
        <x:v>to_upgrade_id</x:v>
      </x:c>
      <x:c r="C44" s="2" t="str">
        <x:v>text</x:v>
      </x:c>
      <x:c r="D44" s="10" t="b">
        <x:v>1</x:v>
      </x:c>
      <x:c r="E44" s="2" t="n">
        <x:v>0</x:v>
      </x:c>
      <x:c r="F44" s="2" t="str">
        <x:v>Upgrade</x:v>
      </x:c>
      <x:c r="G44" s="2" t="str">
        <x:v>upgrade_id</x:v>
      </x:c>
      <x:c r="H44" s="16" t="str"/>
    </x:row>
    <x:row r="45" ht="78" customHeight="1">
      <x:c r="A45" s="2" t="str">
        <x:v>Effect</x:v>
      </x:c>
      <x:c r="B45" s="2" t="str">
        <x:v>effect_id</x:v>
      </x:c>
      <x:c r="C45" s="2" t="str">
        <x:v>text</x:v>
      </x:c>
      <x:c r="D45" s="10" t="b">
        <x:v>1</x:v>
      </x:c>
      <x:c r="E45" s="2" t="n">
        <x:v>1</x:v>
      </x:c>
      <x:c r="F45" s="2" t="str"/>
      <x:c r="G45" s="2" t="str"/>
      <x:c r="H45" s="16" t="str"/>
    </x:row>
    <x:row r="46" ht="78" customHeight="1">
      <x:c r="A46" s="2" t="str">
        <x:v>Effect</x:v>
      </x:c>
      <x:c r="B46" s="2" t="str">
        <x:v>layer</x:v>
      </x:c>
      <x:c r="C46" s="2" t="str">
        <x:v>text</x:v>
      </x:c>
      <x:c r="D46" s="10" t="b">
        <x:v>1</x:v>
      </x:c>
      <x:c r="E46" s="2" t="n">
        <x:v>0</x:v>
      </x:c>
      <x:c r="F46" s="2" t="str"/>
      <x:c r="G46" s="2" t="str"/>
      <x:c r="H46" s="16" t="str"/>
    </x:row>
    <x:row r="47" ht="78" customHeight="1">
      <x:c r="A47" s="2" t="str">
        <x:v>Effect</x:v>
      </x:c>
      <x:c r="B47" s="2" t="str">
        <x:v>profile_key</x:v>
      </x:c>
      <x:c r="C47" s="2" t="str">
        <x:v>text</x:v>
      </x:c>
      <x:c r="D47" s="10" t="b">
        <x:v>1</x:v>
      </x:c>
      <x:c r="E47" s="2" t="n">
        <x:v>0</x:v>
      </x:c>
      <x:c r="F47" s="2" t="str"/>
      <x:c r="G47" s="2" t="str"/>
      <x:c r="H47" s="16" t="str"/>
    </x:row>
    <x:row r="48" ht="78" customHeight="1">
      <x:c r="A48" s="2" t="str">
        <x:v>Effect</x:v>
      </x:c>
      <x:c r="B48" s="2" t="str">
        <x:v>description</x:v>
      </x:c>
      <x:c r="C48" s="2" t="str">
        <x:v>text</x:v>
      </x:c>
      <x:c r="D48" s="10" t="b">
        <x:v>1</x:v>
      </x:c>
      <x:c r="E48" s="2" t="n">
        <x:v>0</x:v>
      </x:c>
      <x:c r="F48" s="2" t="str"/>
      <x:c r="G48" s="2" t="str"/>
      <x:c r="H48" s="16" t="str"/>
    </x:row>
    <x:row r="49" ht="78" customHeight="1">
      <x:c r="A49" s="2" t="str">
        <x:v>Effect</x:v>
      </x:c>
      <x:c r="B49" s="2" t="str">
        <x:v>failure_policy</x:v>
      </x:c>
      <x:c r="C49" s="2" t="str">
        <x:v>text</x:v>
      </x:c>
      <x:c r="D49" s="10" t="b">
        <x:v>1</x:v>
      </x:c>
      <x:c r="E49" s="2" t="n">
        <x:v>0</x:v>
      </x:c>
      <x:c r="F49" s="2" t="str"/>
      <x:c r="G49" s="2" t="str"/>
      <x:c r="H49" s="16" t="str"/>
    </x:row>
    <x:row r="50" ht="78" customHeight="1">
      <x:c r="A50" s="2" t="str">
        <x:v>Effect</x:v>
      </x:c>
      <x:c r="B50" s="2" t="str">
        <x:v>implementation_status</x:v>
      </x:c>
      <x:c r="C50" s="2" t="str">
        <x:v>text</x:v>
      </x:c>
      <x:c r="D50" s="10" t="b">
        <x:v>1</x:v>
      </x:c>
      <x:c r="E50" s="2" t="n">
        <x:v>0</x:v>
      </x:c>
      <x:c r="F50" s="2" t="str"/>
      <x:c r="G50" s="2" t="str"/>
      <x:c r="H50" s="16" t="str"/>
    </x:row>
    <x:row r="51" ht="78" customHeight="1">
      <x:c r="A51" s="2" t="str">
        <x:v>UpgradeEffect</x:v>
      </x:c>
      <x:c r="B51" s="2" t="str">
        <x:v>upgrade_id</x:v>
      </x:c>
      <x:c r="C51" s="2" t="str">
        <x:v>text</x:v>
      </x:c>
      <x:c r="D51" s="10" t="b">
        <x:v>1</x:v>
      </x:c>
      <x:c r="E51" s="2" t="n">
        <x:v>1</x:v>
      </x:c>
      <x:c r="F51" s="2" t="str">
        <x:v>Upgrade</x:v>
      </x:c>
      <x:c r="G51" s="2" t="str">
        <x:v>upgrade_id</x:v>
      </x:c>
      <x:c r="H51" s="16" t="str"/>
    </x:row>
    <x:row r="52" ht="78" customHeight="1">
      <x:c r="A52" s="2" t="str">
        <x:v>UpgradeEffect</x:v>
      </x:c>
      <x:c r="B52" s="2" t="str">
        <x:v>effect_id</x:v>
      </x:c>
      <x:c r="C52" s="2" t="str">
        <x:v>text</x:v>
      </x:c>
      <x:c r="D52" s="10" t="b">
        <x:v>1</x:v>
      </x:c>
      <x:c r="E52" s="2" t="n">
        <x:v>2</x:v>
      </x:c>
      <x:c r="F52" s="2" t="str">
        <x:v>Effect</x:v>
      </x:c>
      <x:c r="G52" s="2" t="str">
        <x:v>effect_id</x:v>
      </x:c>
      <x:c r="H52" s="16" t="str"/>
    </x:row>
    <x:row r="53" ht="78" customHeight="1">
      <x:c r="A53" s="2" t="str">
        <x:v>UpgradeEffect</x:v>
      </x:c>
      <x:c r="B53" s="2" t="str">
        <x:v>order_index</x:v>
      </x:c>
      <x:c r="C53" s="2" t="str">
        <x:v>integer</x:v>
      </x:c>
      <x:c r="D53" s="10" t="b">
        <x:v>1</x:v>
      </x:c>
      <x:c r="E53" s="2" t="n">
        <x:v>0</x:v>
      </x:c>
      <x:c r="F53" s="2" t="str"/>
      <x:c r="G53" s="2" t="str"/>
      <x:c r="H53" s="16" t="str"/>
    </x:row>
    <x:row r="54" ht="78" customHeight="1">
      <x:c r="A54" s="2" t="str">
        <x:v>UpgradeEffect</x:v>
      </x:c>
      <x:c r="B54" s="2" t="str">
        <x:v>layer</x:v>
      </x:c>
      <x:c r="C54" s="2" t="str">
        <x:v>text</x:v>
      </x:c>
      <x:c r="D54" s="10" t="b">
        <x:v>1</x:v>
      </x:c>
      <x:c r="E54" s="2" t="n">
        <x:v>0</x:v>
      </x:c>
      <x:c r="F54" s="2" t="str"/>
      <x:c r="G54" s="2" t="str"/>
      <x:c r="H54" s="16" t="str"/>
    </x:row>
    <x:row r="55" ht="78" customHeight="1">
      <x:c r="A55" s="2" t="str">
        <x:v>UpgradeEffect</x:v>
      </x:c>
      <x:c r="B55" s="2" t="str">
        <x:v>divinity_id</x:v>
      </x:c>
      <x:c r="C55" s="2" t="str">
        <x:v>text</x:v>
      </x:c>
      <x:c r="D55" s="10" t="b">
        <x:v>0</x:v>
      </x:c>
      <x:c r="E55" s="2" t="n">
        <x:v>0</x:v>
      </x:c>
      <x:c r="F55" s="2" t="str">
        <x:v>Divinity</x:v>
      </x:c>
      <x:c r="G55" s="2" t="str">
        <x:v>divinity_id</x:v>
      </x:c>
      <x:c r="H55" s="16" t="str"/>
    </x:row>
    <x:row r="56" ht="78" customHeight="1">
      <x:c r="A56" s="2" t="str">
        <x:v>UpgradeEffect</x:v>
      </x:c>
      <x:c r="B56" s="2" t="str">
        <x:v>min_divinity_stage</x:v>
      </x:c>
      <x:c r="C56" s="2" t="str">
        <x:v>integer</x:v>
      </x:c>
      <x:c r="D56" s="10" t="b">
        <x:v>0</x:v>
      </x:c>
      <x:c r="E56" s="2" t="n">
        <x:v>0</x:v>
      </x:c>
      <x:c r="F56" s="2" t="str"/>
      <x:c r="G56" s="2" t="str"/>
      <x:c r="H56" s="16" t="str"/>
    </x:row>
    <x:row r="57" ht="78" customHeight="1">
      <x:c r="A57" s="2" t="str">
        <x:v>NumericValue</x:v>
      </x:c>
      <x:c r="B57" s="2" t="str">
        <x:v>owner_table</x:v>
      </x:c>
      <x:c r="C57" s="2" t="str">
        <x:v>text</x:v>
      </x:c>
      <x:c r="D57" s="10" t="b">
        <x:v>1</x:v>
      </x:c>
      <x:c r="E57" s="2" t="n">
        <x:v>1</x:v>
      </x:c>
      <x:c r="F57" s="2" t="str"/>
      <x:c r="G57" s="2" t="str"/>
      <x:c r="H57" s="16" t="str"/>
    </x:row>
    <x:row r="58" ht="78" customHeight="1">
      <x:c r="A58" s="2" t="str">
        <x:v>NumericValue</x:v>
      </x:c>
      <x:c r="B58" s="2" t="str">
        <x:v>owner_id</x:v>
      </x:c>
      <x:c r="C58" s="2" t="str">
        <x:v>text</x:v>
      </x:c>
      <x:c r="D58" s="10" t="b">
        <x:v>1</x:v>
      </x:c>
      <x:c r="E58" s="2" t="n">
        <x:v>2</x:v>
      </x:c>
      <x:c r="F58" s="2" t="str"/>
      <x:c r="G58" s="2" t="str"/>
      <x:c r="H58" s="16" t="str"/>
    </x:row>
    <x:row r="59" ht="78" customHeight="1">
      <x:c r="A59" s="2" t="str">
        <x:v>NumericValue</x:v>
      </x:c>
      <x:c r="B59" s="2" t="str">
        <x:v>parameter_id</x:v>
      </x:c>
      <x:c r="C59" s="2" t="str">
        <x:v>text</x:v>
      </x:c>
      <x:c r="D59" s="10" t="b">
        <x:v>1</x:v>
      </x:c>
      <x:c r="E59" s="2" t="n">
        <x:v>3</x:v>
      </x:c>
      <x:c r="F59" s="2" t="str">
        <x:v>ParameterDefinition</x:v>
      </x:c>
      <x:c r="G59" s="2" t="str">
        <x:v>parameter_id</x:v>
      </x:c>
      <x:c r="H59" s="16" t="str"/>
    </x:row>
    <x:row r="60" ht="78" customHeight="1">
      <x:c r="A60" s="2" t="str">
        <x:v>NumericValue</x:v>
      </x:c>
      <x:c r="B60" s="2" t="str">
        <x:v>number_value</x:v>
      </x:c>
      <x:c r="C60" s="2" t="str">
        <x:v>number</x:v>
      </x:c>
      <x:c r="D60" s="10" t="b">
        <x:v>0</x:v>
      </x:c>
      <x:c r="E60" s="2" t="n">
        <x:v>0</x:v>
      </x:c>
      <x:c r="F60" s="2" t="str"/>
      <x:c r="G60" s="2" t="str"/>
      <x:c r="H60" s="16" t="str"/>
    </x:row>
    <x:row r="61" ht="78" customHeight="1">
      <x:c r="A61" s="2" t="str">
        <x:v>NumericValue</x:v>
      </x:c>
      <x:c r="B61" s="2" t="str">
        <x:v>value_status</x:v>
      </x:c>
      <x:c r="C61" s="2" t="str">
        <x:v>text</x:v>
      </x:c>
      <x:c r="D61" s="10" t="b">
        <x:v>1</x:v>
      </x:c>
      <x:c r="E61" s="2" t="n">
        <x:v>0</x:v>
      </x:c>
      <x:c r="F61" s="2" t="str"/>
      <x:c r="G61" s="2" t="str"/>
      <x:c r="H61" s="16" t="str"/>
    </x:row>
    <x:row r="62" ht="78" customHeight="1">
      <x:c r="A62" s="2" t="str">
        <x:v>NumericValue</x:v>
      </x:c>
      <x:c r="B62" s="2" t="str">
        <x:v>value_basis</x:v>
      </x:c>
      <x:c r="C62" s="2" t="str">
        <x:v>text</x:v>
      </x:c>
      <x:c r="D62" s="10" t="b">
        <x:v>1</x:v>
      </x:c>
      <x:c r="E62" s="2" t="n">
        <x:v>0</x:v>
      </x:c>
      <x:c r="F62" s="2" t="str"/>
      <x:c r="G62" s="2" t="str"/>
      <x:c r="H62" s="16" t="str"/>
    </x:row>
    <x:row r="63" ht="78" customHeight="1">
      <x:c r="A63" s="2" t="str">
        <x:v>CardCandidate</x:v>
      </x:c>
      <x:c r="B63" s="2" t="str">
        <x:v>card_id</x:v>
      </x:c>
      <x:c r="C63" s="2" t="str">
        <x:v>text</x:v>
      </x:c>
      <x:c r="D63" s="10" t="b">
        <x:v>1</x:v>
      </x:c>
      <x:c r="E63" s="2" t="n">
        <x:v>1</x:v>
      </x:c>
      <x:c r="F63" s="2" t="str"/>
      <x:c r="G63" s="2" t="str"/>
      <x:c r="H63" s="16" t="str"/>
    </x:row>
    <x:row r="64" ht="78" customHeight="1">
      <x:c r="A64" s="2" t="str">
        <x:v>CardCandidate</x:v>
      </x:c>
      <x:c r="B64" s="2" t="str">
        <x:v>name_key</x:v>
      </x:c>
      <x:c r="C64" s="2" t="str">
        <x:v>text</x:v>
      </x:c>
      <x:c r="D64" s="10" t="b">
        <x:v>1</x:v>
      </x:c>
      <x:c r="E64" s="2" t="n">
        <x:v>0</x:v>
      </x:c>
      <x:c r="F64" s="2" t="str">
        <x:v>Text</x:v>
      </x:c>
      <x:c r="G64" s="2" t="str">
        <x:v>name_key</x:v>
      </x:c>
      <x:c r="H64" s="16" t="str"/>
    </x:row>
    <x:row r="65" ht="78" customHeight="1">
      <x:c r="A65" s="2" t="str">
        <x:v>CardCandidate</x:v>
      </x:c>
      <x:c r="B65" s="2" t="str">
        <x:v>category</x:v>
      </x:c>
      <x:c r="C65" s="2" t="str">
        <x:v>text</x:v>
      </x:c>
      <x:c r="D65" s="10" t="b">
        <x:v>1</x:v>
      </x:c>
      <x:c r="E65" s="2" t="n">
        <x:v>0</x:v>
      </x:c>
      <x:c r="F65" s="2" t="str"/>
      <x:c r="G65" s="2" t="str"/>
      <x:c r="H65" s="16" t="str"/>
    </x:row>
    <x:row r="66" ht="78" customHeight="1">
      <x:c r="A66" s="2" t="str">
        <x:v>CardCandidate</x:v>
      </x:c>
      <x:c r="B66" s="2" t="str">
        <x:v>theme_divinity_id</x:v>
      </x:c>
      <x:c r="C66" s="2" t="str">
        <x:v>text</x:v>
      </x:c>
      <x:c r="D66" s="10" t="b">
        <x:v>1</x:v>
      </x:c>
      <x:c r="E66" s="2" t="n">
        <x:v>0</x:v>
      </x:c>
      <x:c r="F66" s="2" t="str">
        <x:v>Divinity</x:v>
      </x:c>
      <x:c r="G66" s="2" t="str">
        <x:v>divinity_id</x:v>
      </x:c>
      <x:c r="H66" s="16" t="str"/>
    </x:row>
    <x:row r="67" ht="78" customHeight="1">
      <x:c r="A67" s="2" t="str">
        <x:v>CardCandidate</x:v>
      </x:c>
      <x:c r="B67" s="2" t="str">
        <x:v>access_policy</x:v>
      </x:c>
      <x:c r="C67" s="2" t="str">
        <x:v>text</x:v>
      </x:c>
      <x:c r="D67" s="10" t="b">
        <x:v>1</x:v>
      </x:c>
      <x:c r="E67" s="2" t="n">
        <x:v>0</x:v>
      </x:c>
      <x:c r="F67" s="2" t="str"/>
      <x:c r="G67" s="2" t="str"/>
      <x:c r="H67" s="16" t="str"/>
    </x:row>
    <x:row r="68" ht="78" customHeight="1">
      <x:c r="A68" s="2" t="str">
        <x:v>CardCandidate</x:v>
      </x:c>
      <x:c r="B68" s="2" t="str">
        <x:v>design_effect</x:v>
      </x:c>
      <x:c r="C68" s="2" t="str">
        <x:v>text</x:v>
      </x:c>
      <x:c r="D68" s="10" t="b">
        <x:v>1</x:v>
      </x:c>
      <x:c r="E68" s="2" t="n">
        <x:v>0</x:v>
      </x:c>
      <x:c r="F68" s="2" t="str"/>
      <x:c r="G68" s="2" t="str"/>
      <x:c r="H68" s="16" t="str"/>
    </x:row>
    <x:row r="69" ht="78" customHeight="1">
      <x:c r="A69" s="2" t="str">
        <x:v>CardCandidate</x:v>
      </x:c>
      <x:c r="B69" s="2" t="str">
        <x:v>enabled</x:v>
      </x:c>
      <x:c r="C69" s="2" t="str">
        <x:v>boolean</x:v>
      </x:c>
      <x:c r="D69" s="10" t="b">
        <x:v>1</x:v>
      </x:c>
      <x:c r="E69" s="2" t="n">
        <x:v>0</x:v>
      </x:c>
      <x:c r="F69" s="2" t="str"/>
      <x:c r="G69" s="2" t="str"/>
      <x:c r="H69" s="16" t="str"/>
    </x:row>
    <x:row r="70" ht="78" customHeight="1">
      <x:c r="A70" s="2" t="str">
        <x:v>CardCandidate</x:v>
      </x:c>
      <x:c r="B70" s="2" t="str">
        <x:v>effect_status</x:v>
      </x:c>
      <x:c r="C70" s="2" t="str">
        <x:v>text</x:v>
      </x:c>
      <x:c r="D70" s="10" t="b">
        <x:v>1</x:v>
      </x:c>
      <x:c r="E70" s="2" t="n">
        <x:v>0</x:v>
      </x:c>
      <x:c r="F70" s="2" t="str"/>
      <x:c r="G70" s="2" t="str"/>
      <x:c r="H70" s="16" t="str"/>
    </x:row>
    <x:row r="71" ht="78" customHeight="1">
      <x:c r="A71" s="2" t="str">
        <x:v>Text</x:v>
      </x:c>
      <x:c r="B71" s="2" t="str">
        <x:v>name_key</x:v>
      </x:c>
      <x:c r="C71" s="2" t="str">
        <x:v>text</x:v>
      </x:c>
      <x:c r="D71" s="10" t="b">
        <x:v>1</x:v>
      </x:c>
      <x:c r="E71" s="2" t="n">
        <x:v>1</x:v>
      </x:c>
      <x:c r="F71" s="2" t="str"/>
      <x:c r="G71" s="2" t="str"/>
      <x:c r="H71" s="16" t="str"/>
    </x:row>
    <x:row r="72" ht="78" customHeight="1">
      <x:c r="A72" s="2" t="str">
        <x:v>Text</x:v>
      </x:c>
      <x:c r="B72" s="2" t="str">
        <x:v>locale</x:v>
      </x:c>
      <x:c r="C72" s="2" t="str">
        <x:v>text</x:v>
      </x:c>
      <x:c r="D72" s="10" t="b">
        <x:v>1</x:v>
      </x:c>
      <x:c r="E72" s="2" t="n">
        <x:v>2</x:v>
      </x:c>
      <x:c r="F72" s="2" t="str"/>
      <x:c r="G72" s="2" t="str"/>
      <x:c r="H72" s="16" t="str"/>
    </x:row>
    <x:row r="73" ht="78" customHeight="1">
      <x:c r="A73" s="2" t="str">
        <x:v>Text</x:v>
      </x:c>
      <x:c r="B73" s="2" t="str">
        <x:v>text</x:v>
      </x:c>
      <x:c r="C73" s="2" t="str">
        <x:v>text</x:v>
      </x:c>
      <x:c r="D73" s="10" t="b">
        <x:v>1</x:v>
      </x:c>
      <x:c r="E73" s="2" t="n">
        <x:v>0</x:v>
      </x:c>
      <x:c r="F73" s="2" t="str"/>
      <x:c r="G73" s="2" t="str"/>
      <x:c r="H73" s="16" t="str"/>
    </x:row>
    <x:row r="74" ht="78" customHeight="1">
      <x:c r="A74" s="2" t="str">
        <x:v>StageDefinition</x:v>
      </x:c>
      <x:c r="B74" s="2" t="str">
        <x:v>stage_domain</x:v>
      </x:c>
      <x:c r="C74" s="2" t="str">
        <x:v>text</x:v>
      </x:c>
      <x:c r="D74" s="10" t="b">
        <x:v>1</x:v>
      </x:c>
      <x:c r="E74" s="2" t="n">
        <x:v>1</x:v>
      </x:c>
      <x:c r="F74" s="2" t="str"/>
      <x:c r="G74" s="2" t="str"/>
      <x:c r="H74" s="16" t="str"/>
    </x:row>
    <x:row r="75" ht="78" customHeight="1">
      <x:c r="A75" s="2" t="str">
        <x:v>StageDefinition</x:v>
      </x:c>
      <x:c r="B75" s="2" t="str">
        <x:v>stage_index</x:v>
      </x:c>
      <x:c r="C75" s="2" t="str">
        <x:v>integer</x:v>
      </x:c>
      <x:c r="D75" s="10" t="b">
        <x:v>1</x:v>
      </x:c>
      <x:c r="E75" s="2" t="n">
        <x:v>2</x:v>
      </x:c>
      <x:c r="F75" s="2" t="str"/>
      <x:c r="G75" s="2" t="str"/>
      <x:c r="H75" s="16" t="str"/>
    </x:row>
    <x:row r="76" ht="78" customHeight="1">
      <x:c r="A76" s="2" t="str">
        <x:v>StageDefinition</x:v>
      </x:c>
      <x:c r="B76" s="2" t="str">
        <x:v>name_ko</x:v>
      </x:c>
      <x:c r="C76" s="2" t="str">
        <x:v>text</x:v>
      </x:c>
      <x:c r="D76" s="10" t="b">
        <x:v>1</x:v>
      </x:c>
      <x:c r="E76" s="2" t="n">
        <x:v>0</x:v>
      </x:c>
      <x:c r="F76" s="2" t="str"/>
      <x:c r="G76" s="2" t="str"/>
      <x:c r="H76" s="16" t="str"/>
    </x:row>
  </x:sheetData>
  <x:pageMargins left="0.7" right="0.7" top="0.75" bottom="0.75" header="0.3" footer="0.3"/>
  <x:tableParts count="1">
    <x:tablePart xmlns:r="http://schemas.openxmlformats.org/officeDocument/2006/relationships" r:id="Rc13f0d571bfd412f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 ht="28" customHeight="1">
      <x:c r="A1" s="27" t="str">
        <x:v>table_name</x:v>
      </x:c>
      <x:c r="B1" s="27" t="str">
        <x:v>field</x:v>
      </x:c>
      <x:c r="C1" s="27" t="str">
        <x:v>reference</x:v>
      </x:c>
      <x:c r="D1" s="27" t="str">
        <x:v>result</x:v>
      </x:c>
    </x:row>
    <x:row r="2" ht="28" customHeight="1">
      <x:c r="A2" t="str">
        <x:v>Divinity</x:v>
      </x:c>
      <x:c r="B2" t="str">
        <x:v>name_key @ 2</x:v>
      </x:c>
      <x:c r="C2" t="str">
        <x:v>name_divinity_zeus</x:v>
      </x:c>
      <x:c r="D2" t="str">
        <x:f>IF(COUNTIFS('Text'!$A$2:$A$1001,'Divinity'!B2)=1,"OK","ERROR")</x:f>
        <x:v>OK</x:v>
      </x:c>
      <x:c r="F2" t="str">
        <x:v>검사</x:v>
      </x:c>
      <x:c r="G2" t="str">
        <x:v>결과</x:v>
      </x:c>
    </x:row>
    <x:row r="3" ht="28" customHeight="1">
      <x:c r="A3" t="str">
        <x:v>Divinity</x:v>
      </x:c>
      <x:c r="B3" t="str">
        <x:v>name_key @ 3</x:v>
      </x:c>
      <x:c r="C3" t="str">
        <x:v>name_divinity_thor</x:v>
      </x:c>
      <x:c r="D3" t="str">
        <x:f>IF(COUNTIFS('Text'!$A$2:$A$1001,'Divinity'!B3)=1,"OK","ERROR")</x:f>
        <x:v>OK</x:v>
      </x:c>
      <x:c r="F3" t="str">
        <x:v>참조 오류</x:v>
      </x:c>
      <x:c r="G3" t="n">
        <x:f>COUNTIFS(D2:D658,"ERROR")</x:f>
        <x:v>0</x:v>
      </x:c>
    </x:row>
    <x:row r="4" ht="28" customHeight="1">
      <x:c r="A4" t="str">
        <x:v>Divinity</x:v>
      </x:c>
      <x:c r="B4" t="str">
        <x:v>name_key @ 4</x:v>
      </x:c>
      <x:c r="C4" t="str">
        <x:v>name_divinity_apollo</x:v>
      </x:c>
      <x:c r="D4" t="str">
        <x:f>IF(COUNTIFS('Text'!$A$2:$A$1001,'Divinity'!B4)=1,"OK","ERROR")</x:f>
        <x:v>OK</x:v>
      </x:c>
      <x:c r="F4" t="str">
        <x:v>검사 행 수</x:v>
      </x:c>
      <x:c r="G4" t="n">
        <x:v>657</x:v>
      </x:c>
    </x:row>
    <x:row r="5" ht="28" customHeight="1">
      <x:c r="A5" t="str">
        <x:v>Divinity</x:v>
      </x:c>
      <x:c r="B5" t="str">
        <x:v>name_key @ 5</x:v>
      </x:c>
      <x:c r="C5" t="str">
        <x:v>name_divinity_ares</x:v>
      </x:c>
      <x:c r="D5" t="str">
        <x:f>IF(COUNTIFS('Text'!$A$2:$A$1001,'Divinity'!B5)=1,"OK","ERROR")</x:f>
        <x:v>OK</x:v>
      </x:c>
      <x:c r="F5" t="str">
        <x:v>구조·순환·숫자 검사</x:v>
      </x:c>
      <x:c r="G5" t="str">
        <x:v>별도 validator 실행 결과 참조</x:v>
      </x:c>
    </x:row>
    <x:row r="6" ht="28" customHeight="1">
      <x:c r="A6" t="str">
        <x:v>Divinity</x:v>
      </x:c>
      <x:c r="B6" t="str">
        <x:v>name_key @ 6</x:v>
      </x:c>
      <x:c r="C6" t="str">
        <x:v>name_divinity_hades</x:v>
      </x:c>
      <x:c r="D6" t="str">
        <x:f>IF(COUNTIFS('Text'!$A$2:$A$1001,'Divinity'!B6)=1,"OK","ERROR")</x:f>
        <x:v>OK</x:v>
      </x:c>
    </x:row>
    <x:row r="7" ht="28" customHeight="1">
      <x:c r="A7" t="str">
        <x:v>Divinity</x:v>
      </x:c>
      <x:c r="B7" t="str">
        <x:v>name_key @ 7</x:v>
      </x:c>
      <x:c r="C7" t="str">
        <x:v>name_divinity_artemis</x:v>
      </x:c>
      <x:c r="D7" t="str">
        <x:f>IF(COUNTIFS('Text'!$A$2:$A$1001,'Divinity'!B7)=1,"OK","ERROR")</x:f>
        <x:v>OK</x:v>
      </x:c>
    </x:row>
    <x:row r="8" ht="28" customHeight="1">
      <x:c r="A8" t="str">
        <x:v>Divinity</x:v>
      </x:c>
      <x:c r="B8" t="str">
        <x:v>name_key @ 8</x:v>
      </x:c>
      <x:c r="C8" t="str">
        <x:v>name_divinity_skadi</x:v>
      </x:c>
      <x:c r="D8" t="str">
        <x:f>IF(COUNTIFS('Text'!$A$2:$A$1001,'Divinity'!B8)=1,"OK","ERROR")</x:f>
        <x:v>OK</x:v>
      </x:c>
    </x:row>
    <x:row r="9" ht="28" customHeight="1">
      <x:c r="A9" t="str">
        <x:v>Divinity</x:v>
      </x:c>
      <x:c r="B9" t="str">
        <x:v>culture_id @ 2</x:v>
      </x:c>
      <x:c r="C9" t="str">
        <x:v>culture_greek</x:v>
      </x:c>
      <x:c r="D9" t="str">
        <x:f>IF(COUNTIFS('Culture'!$A$2:$A$1001,'Divinity'!C2)=1,"OK","ERROR")</x:f>
        <x:v>OK</x:v>
      </x:c>
    </x:row>
    <x:row r="10" ht="28" customHeight="1">
      <x:c r="A10" t="str">
        <x:v>Divinity</x:v>
      </x:c>
      <x:c r="B10" t="str">
        <x:v>culture_id @ 3</x:v>
      </x:c>
      <x:c r="C10" t="str">
        <x:v>culture_norse</x:v>
      </x:c>
      <x:c r="D10" t="str">
        <x:f>IF(COUNTIFS('Culture'!$A$2:$A$1001,'Divinity'!C3)=1,"OK","ERROR")</x:f>
        <x:v>OK</x:v>
      </x:c>
    </x:row>
    <x:row r="11" ht="28" customHeight="1">
      <x:c r="A11" t="str">
        <x:v>Divinity</x:v>
      </x:c>
      <x:c r="B11" t="str">
        <x:v>culture_id @ 4</x:v>
      </x:c>
      <x:c r="C11" t="str">
        <x:v>culture_greek</x:v>
      </x:c>
      <x:c r="D11" t="str">
        <x:f>IF(COUNTIFS('Culture'!$A$2:$A$1001,'Divinity'!C4)=1,"OK","ERROR")</x:f>
        <x:v>OK</x:v>
      </x:c>
    </x:row>
    <x:row r="12" ht="28" customHeight="1">
      <x:c r="A12" t="str">
        <x:v>Divinity</x:v>
      </x:c>
      <x:c r="B12" t="str">
        <x:v>culture_id @ 5</x:v>
      </x:c>
      <x:c r="C12" t="str">
        <x:v>culture_greek</x:v>
      </x:c>
      <x:c r="D12" t="str">
        <x:f>IF(COUNTIFS('Culture'!$A$2:$A$1001,'Divinity'!C5)=1,"OK","ERROR")</x:f>
        <x:v>OK</x:v>
      </x:c>
    </x:row>
    <x:row r="13" ht="28" customHeight="1">
      <x:c r="A13" t="str">
        <x:v>Divinity</x:v>
      </x:c>
      <x:c r="B13" t="str">
        <x:v>culture_id @ 6</x:v>
      </x:c>
      <x:c r="C13" t="str">
        <x:v>culture_greek</x:v>
      </x:c>
      <x:c r="D13" t="str">
        <x:f>IF(COUNTIFS('Culture'!$A$2:$A$1001,'Divinity'!C6)=1,"OK","ERROR")</x:f>
        <x:v>OK</x:v>
      </x:c>
    </x:row>
    <x:row r="14" ht="28" customHeight="1">
      <x:c r="A14" t="str">
        <x:v>Divinity</x:v>
      </x:c>
      <x:c r="B14" t="str">
        <x:v>culture_id @ 7</x:v>
      </x:c>
      <x:c r="C14" t="str">
        <x:v>culture_greek</x:v>
      </x:c>
      <x:c r="D14" t="str">
        <x:f>IF(COUNTIFS('Culture'!$A$2:$A$1001,'Divinity'!C7)=1,"OK","ERROR")</x:f>
        <x:v>OK</x:v>
      </x:c>
    </x:row>
    <x:row r="15" ht="28" customHeight="1">
      <x:c r="A15" t="str">
        <x:v>Divinity</x:v>
      </x:c>
      <x:c r="B15" t="str">
        <x:v>culture_id @ 8</x:v>
      </x:c>
      <x:c r="C15" t="str">
        <x:v>culture_norse</x:v>
      </x:c>
      <x:c r="D15" t="str">
        <x:f>IF(COUNTIFS('Culture'!$A$2:$A$1001,'Divinity'!C8)=1,"OK","ERROR")</x:f>
        <x:v>OK</x:v>
      </x:c>
    </x:row>
    <x:row r="16" ht="28" customHeight="1">
      <x:c r="A16" t="str">
        <x:v>WeaponFamily</x:v>
      </x:c>
      <x:c r="B16" t="str">
        <x:v>name_key @ 2</x:v>
      </x:c>
      <x:c r="C16" t="str">
        <x:v>name_family_spear</x:v>
      </x:c>
      <x:c r="D16" t="str">
        <x:f>IF(COUNTIFS('Text'!$A$2:$A$1001,'WeaponFamily'!B2)=1,"OK","ERROR")</x:f>
        <x:v>OK</x:v>
      </x:c>
    </x:row>
    <x:row r="17" ht="28" customHeight="1">
      <x:c r="A17" t="str">
        <x:v>WeaponFamily</x:v>
      </x:c>
      <x:c r="B17" t="str">
        <x:v>name_key @ 3</x:v>
      </x:c>
      <x:c r="C17" t="str">
        <x:v>name_family_hammer</x:v>
      </x:c>
      <x:c r="D17" t="str">
        <x:f>IF(COUNTIFS('Text'!$A$2:$A$1001,'WeaponFamily'!B3)=1,"OK","ERROR")</x:f>
        <x:v>OK</x:v>
      </x:c>
    </x:row>
    <x:row r="18" ht="28" customHeight="1">
      <x:c r="A18" t="str">
        <x:v>WeaponFamily</x:v>
      </x:c>
      <x:c r="B18" t="str">
        <x:v>name_key @ 4</x:v>
      </x:c>
      <x:c r="C18" t="str">
        <x:v>name_family_greatsword</x:v>
      </x:c>
      <x:c r="D18" t="str">
        <x:f>IF(COUNTIFS('Text'!$A$2:$A$1001,'WeaponFamily'!B4)=1,"OK","ERROR")</x:f>
        <x:v>OK</x:v>
      </x:c>
    </x:row>
    <x:row r="19" ht="28" customHeight="1">
      <x:c r="A19" t="str">
        <x:v>WeaponFamily</x:v>
      </x:c>
      <x:c r="B19" t="str">
        <x:v>name_key @ 5</x:v>
      </x:c>
      <x:c r="C19" t="str">
        <x:v>name_family_dagger</x:v>
      </x:c>
      <x:c r="D19" t="str">
        <x:f>IF(COUNTIFS('Text'!$A$2:$A$1001,'WeaponFamily'!B5)=1,"OK","ERROR")</x:f>
        <x:v>OK</x:v>
      </x:c>
    </x:row>
    <x:row r="20" ht="28" customHeight="1">
      <x:c r="A20" t="str">
        <x:v>WeaponFamily</x:v>
      </x:c>
      <x:c r="B20" t="str">
        <x:v>name_key @ 6</x:v>
      </x:c>
      <x:c r="C20" t="str">
        <x:v>name_family_sword_shield</x:v>
      </x:c>
      <x:c r="D20" t="str">
        <x:f>IF(COUNTIFS('Text'!$A$2:$A$1001,'WeaponFamily'!B6)=1,"OK","ERROR")</x:f>
        <x:v>OK</x:v>
      </x:c>
    </x:row>
    <x:row r="21" ht="28" customHeight="1">
      <x:c r="A21" t="str">
        <x:v>WeaponFamily</x:v>
      </x:c>
      <x:c r="B21" t="str">
        <x:v>name_key @ 7</x:v>
      </x:c>
      <x:c r="C21" t="str">
        <x:v>name_family_bow</x:v>
      </x:c>
      <x:c r="D21" t="str">
        <x:f>IF(COUNTIFS('Text'!$A$2:$A$1001,'WeaponFamily'!B7)=1,"OK","ERROR")</x:f>
        <x:v>OK</x:v>
      </x:c>
    </x:row>
    <x:row r="22" ht="28" customHeight="1">
      <x:c r="A22" t="str">
        <x:v>WeaponFamily</x:v>
      </x:c>
      <x:c r="B22" t="str">
        <x:v>name_key @ 8</x:v>
      </x:c>
      <x:c r="C22" t="str">
        <x:v>name_family_staff</x:v>
      </x:c>
      <x:c r="D22" t="str">
        <x:f>IF(COUNTIFS('Text'!$A$2:$A$1001,'WeaponFamily'!B8)=1,"OK","ERROR")</x:f>
        <x:v>OK</x:v>
      </x:c>
    </x:row>
    <x:row r="23" ht="28" customHeight="1">
      <x:c r="A23" t="str">
        <x:v>AttackPattern</x:v>
      </x:c>
      <x:c r="B23" t="str">
        <x:v>family_id @ 2</x:v>
      </x:c>
      <x:c r="C23" t="str">
        <x:v>family_spear</x:v>
      </x:c>
      <x:c r="D23" t="str">
        <x:f>IF(COUNTIFS('WeaponFamily'!$A$2:$A$1001,'AttackPattern'!B2)=1,"OK","ERROR")</x:f>
        <x:v>OK</x:v>
      </x:c>
    </x:row>
    <x:row r="24" ht="28" customHeight="1">
      <x:c r="A24" t="str">
        <x:v>AttackPattern</x:v>
      </x:c>
      <x:c r="B24" t="str">
        <x:v>family_id @ 3</x:v>
      </x:c>
      <x:c r="C24" t="str">
        <x:v>family_hammer</x:v>
      </x:c>
      <x:c r="D24" t="str">
        <x:f>IF(COUNTIFS('WeaponFamily'!$A$2:$A$1001,'AttackPattern'!B3)=1,"OK","ERROR")</x:f>
        <x:v>OK</x:v>
      </x:c>
    </x:row>
    <x:row r="25" ht="28" customHeight="1">
      <x:c r="A25" t="str">
        <x:v>AttackPattern</x:v>
      </x:c>
      <x:c r="B25" t="str">
        <x:v>family_id @ 4</x:v>
      </x:c>
      <x:c r="C25" t="str">
        <x:v>family_greatsword</x:v>
      </x:c>
      <x:c r="D25" t="str">
        <x:f>IF(COUNTIFS('WeaponFamily'!$A$2:$A$1001,'AttackPattern'!B4)=1,"OK","ERROR")</x:f>
        <x:v>OK</x:v>
      </x:c>
    </x:row>
    <x:row r="26" ht="28" customHeight="1">
      <x:c r="A26" t="str">
        <x:v>AttackPattern</x:v>
      </x:c>
      <x:c r="B26" t="str">
        <x:v>family_id @ 5</x:v>
      </x:c>
      <x:c r="C26" t="str">
        <x:v>family_dagger</x:v>
      </x:c>
      <x:c r="D26" t="str">
        <x:f>IF(COUNTIFS('WeaponFamily'!$A$2:$A$1001,'AttackPattern'!B5)=1,"OK","ERROR")</x:f>
        <x:v>OK</x:v>
      </x:c>
    </x:row>
    <x:row r="27" ht="28" customHeight="1">
      <x:c r="A27" t="str">
        <x:v>AttackPattern</x:v>
      </x:c>
      <x:c r="B27" t="str">
        <x:v>family_id @ 6</x:v>
      </x:c>
      <x:c r="C27" t="str">
        <x:v>family_sword_shield</x:v>
      </x:c>
      <x:c r="D27" t="str">
        <x:f>IF(COUNTIFS('WeaponFamily'!$A$2:$A$1001,'AttackPattern'!B6)=1,"OK","ERROR")</x:f>
        <x:v>OK</x:v>
      </x:c>
    </x:row>
    <x:row r="28" ht="28" customHeight="1">
      <x:c r="A28" t="str">
        <x:v>AttackPattern</x:v>
      </x:c>
      <x:c r="B28" t="str">
        <x:v>family_id @ 7</x:v>
      </x:c>
      <x:c r="C28" t="str">
        <x:v>family_bow</x:v>
      </x:c>
      <x:c r="D28" t="str">
        <x:f>IF(COUNTIFS('WeaponFamily'!$A$2:$A$1001,'AttackPattern'!B7)=1,"OK","ERROR")</x:f>
        <x:v>OK</x:v>
      </x:c>
    </x:row>
    <x:row r="29" ht="28" customHeight="1">
      <x:c r="A29" t="str">
        <x:v>AttackPattern</x:v>
      </x:c>
      <x:c r="B29" t="str">
        <x:v>family_id @ 8</x:v>
      </x:c>
      <x:c r="C29" t="str">
        <x:v>family_staff</x:v>
      </x:c>
      <x:c r="D29" t="str">
        <x:f>IF(COUNTIFS('WeaponFamily'!$A$2:$A$1001,'AttackPattern'!B8)=1,"OK","ERROR")</x:f>
        <x:v>OK</x:v>
      </x:c>
    </x:row>
    <x:row r="30" ht="28" customHeight="1">
      <x:c r="A30" t="str">
        <x:v>Weapon</x:v>
      </x:c>
      <x:c r="B30" t="str">
        <x:v>name_key @ 2</x:v>
      </x:c>
      <x:c r="C30" t="str">
        <x:v>name_weapon_spear</x:v>
      </x:c>
      <x:c r="D30" t="str">
        <x:f>IF(COUNTIFS('Text'!$A$2:$A$1001,'Weapon'!B2)=1,"OK","ERROR")</x:f>
        <x:v>OK</x:v>
      </x:c>
    </x:row>
    <x:row r="31" ht="28" customHeight="1">
      <x:c r="A31" t="str">
        <x:v>Weapon</x:v>
      </x:c>
      <x:c r="B31" t="str">
        <x:v>name_key @ 3</x:v>
      </x:c>
      <x:c r="C31" t="str">
        <x:v>name_weapon_hammer</x:v>
      </x:c>
      <x:c r="D31" t="str">
        <x:f>IF(COUNTIFS('Text'!$A$2:$A$1001,'Weapon'!B3)=1,"OK","ERROR")</x:f>
        <x:v>OK</x:v>
      </x:c>
    </x:row>
    <x:row r="32" ht="28" customHeight="1">
      <x:c r="A32" t="str">
        <x:v>Weapon</x:v>
      </x:c>
      <x:c r="B32" t="str">
        <x:v>name_key @ 4</x:v>
      </x:c>
      <x:c r="C32" t="str">
        <x:v>name_weapon_greatsword</x:v>
      </x:c>
      <x:c r="D32" t="str">
        <x:f>IF(COUNTIFS('Text'!$A$2:$A$1001,'Weapon'!B4)=1,"OK","ERROR")</x:f>
        <x:v>OK</x:v>
      </x:c>
    </x:row>
    <x:row r="33" ht="28" customHeight="1">
      <x:c r="A33" t="str">
        <x:v>Weapon</x:v>
      </x:c>
      <x:c r="B33" t="str">
        <x:v>name_key @ 5</x:v>
      </x:c>
      <x:c r="C33" t="str">
        <x:v>name_weapon_dagger</x:v>
      </x:c>
      <x:c r="D33" t="str">
        <x:f>IF(COUNTIFS('Text'!$A$2:$A$1001,'Weapon'!B5)=1,"OK","ERROR")</x:f>
        <x:v>OK</x:v>
      </x:c>
    </x:row>
    <x:row r="34" ht="28" customHeight="1">
      <x:c r="A34" t="str">
        <x:v>Weapon</x:v>
      </x:c>
      <x:c r="B34" t="str">
        <x:v>name_key @ 6</x:v>
      </x:c>
      <x:c r="C34" t="str">
        <x:v>name_weapon_sword_shield</x:v>
      </x:c>
      <x:c r="D34" t="str">
        <x:f>IF(COUNTIFS('Text'!$A$2:$A$1001,'Weapon'!B6)=1,"OK","ERROR")</x:f>
        <x:v>OK</x:v>
      </x:c>
    </x:row>
    <x:row r="35" ht="28" customHeight="1">
      <x:c r="A35" t="str">
        <x:v>Weapon</x:v>
      </x:c>
      <x:c r="B35" t="str">
        <x:v>name_key @ 7</x:v>
      </x:c>
      <x:c r="C35" t="str">
        <x:v>name_weapon_bow</x:v>
      </x:c>
      <x:c r="D35" t="str">
        <x:f>IF(COUNTIFS('Text'!$A$2:$A$1001,'Weapon'!B7)=1,"OK","ERROR")</x:f>
        <x:v>OK</x:v>
      </x:c>
    </x:row>
    <x:row r="36" ht="28" customHeight="1">
      <x:c r="A36" t="str">
        <x:v>Weapon</x:v>
      </x:c>
      <x:c r="B36" t="str">
        <x:v>name_key @ 8</x:v>
      </x:c>
      <x:c r="C36" t="str">
        <x:v>name_weapon_staff</x:v>
      </x:c>
      <x:c r="D36" t="str">
        <x:f>IF(COUNTIFS('Text'!$A$2:$A$1001,'Weapon'!B8)=1,"OK","ERROR")</x:f>
        <x:v>OK</x:v>
      </x:c>
    </x:row>
    <x:row r="37" ht="28" customHeight="1">
      <x:c r="A37" t="str">
        <x:v>Weapon</x:v>
      </x:c>
      <x:c r="B37" t="str">
        <x:v>family_id @ 2</x:v>
      </x:c>
      <x:c r="C37" t="str">
        <x:v>family_spear</x:v>
      </x:c>
      <x:c r="D37" t="str">
        <x:f>IF(COUNTIFS('WeaponFamily'!$A$2:$A$1001,'Weapon'!C2)=1,"OK","ERROR")</x:f>
        <x:v>OK</x:v>
      </x:c>
    </x:row>
    <x:row r="38" ht="28" customHeight="1">
      <x:c r="A38" t="str">
        <x:v>Weapon</x:v>
      </x:c>
      <x:c r="B38" t="str">
        <x:v>family_id @ 3</x:v>
      </x:c>
      <x:c r="C38" t="str">
        <x:v>family_hammer</x:v>
      </x:c>
      <x:c r="D38" t="str">
        <x:f>IF(COUNTIFS('WeaponFamily'!$A$2:$A$1001,'Weapon'!C3)=1,"OK","ERROR")</x:f>
        <x:v>OK</x:v>
      </x:c>
    </x:row>
    <x:row r="39" ht="28" customHeight="1">
      <x:c r="A39" t="str">
        <x:v>Weapon</x:v>
      </x:c>
      <x:c r="B39" t="str">
        <x:v>family_id @ 4</x:v>
      </x:c>
      <x:c r="C39" t="str">
        <x:v>family_greatsword</x:v>
      </x:c>
      <x:c r="D39" t="str">
        <x:f>IF(COUNTIFS('WeaponFamily'!$A$2:$A$1001,'Weapon'!C4)=1,"OK","ERROR")</x:f>
        <x:v>OK</x:v>
      </x:c>
    </x:row>
    <x:row r="40" ht="28" customHeight="1">
      <x:c r="A40" t="str">
        <x:v>Weapon</x:v>
      </x:c>
      <x:c r="B40" t="str">
        <x:v>family_id @ 5</x:v>
      </x:c>
      <x:c r="C40" t="str">
        <x:v>family_dagger</x:v>
      </x:c>
      <x:c r="D40" t="str">
        <x:f>IF(COUNTIFS('WeaponFamily'!$A$2:$A$1001,'Weapon'!C5)=1,"OK","ERROR")</x:f>
        <x:v>OK</x:v>
      </x:c>
    </x:row>
    <x:row r="41" ht="28" customHeight="1">
      <x:c r="A41" t="str">
        <x:v>Weapon</x:v>
      </x:c>
      <x:c r="B41" t="str">
        <x:v>family_id @ 6</x:v>
      </x:c>
      <x:c r="C41" t="str">
        <x:v>family_sword_shield</x:v>
      </x:c>
      <x:c r="D41" t="str">
        <x:f>IF(COUNTIFS('WeaponFamily'!$A$2:$A$1001,'Weapon'!C6)=1,"OK","ERROR")</x:f>
        <x:v>OK</x:v>
      </x:c>
    </x:row>
    <x:row r="42" ht="28" customHeight="1">
      <x:c r="A42" t="str">
        <x:v>Weapon</x:v>
      </x:c>
      <x:c r="B42" t="str">
        <x:v>family_id @ 7</x:v>
      </x:c>
      <x:c r="C42" t="str">
        <x:v>family_bow</x:v>
      </x:c>
      <x:c r="D42" t="str">
        <x:f>IF(COUNTIFS('WeaponFamily'!$A$2:$A$1001,'Weapon'!C7)=1,"OK","ERROR")</x:f>
        <x:v>OK</x:v>
      </x:c>
    </x:row>
    <x:row r="43" ht="28" customHeight="1">
      <x:c r="A43" t="str">
        <x:v>Weapon</x:v>
      </x:c>
      <x:c r="B43" t="str">
        <x:v>family_id @ 8</x:v>
      </x:c>
      <x:c r="C43" t="str">
        <x:v>family_staff</x:v>
      </x:c>
      <x:c r="D43" t="str">
        <x:f>IF(COUNTIFS('WeaponFamily'!$A$2:$A$1001,'Weapon'!C8)=1,"OK","ERROR")</x:f>
        <x:v>OK</x:v>
      </x:c>
    </x:row>
    <x:row r="44" ht="28" customHeight="1">
      <x:c r="A44" t="str">
        <x:v>Weapon</x:v>
      </x:c>
      <x:c r="B44" t="str">
        <x:v>attack_pattern_id @ 2</x:v>
      </x:c>
      <x:c r="C44" t="str">
        <x:v>pattern_spear</x:v>
      </x:c>
      <x:c r="D44" t="str">
        <x:f>IF(COUNTIFS('AttackPattern'!$A$2:$A$1001,'Weapon'!D2)=1,"OK","ERROR")</x:f>
        <x:v>OK</x:v>
      </x:c>
    </x:row>
    <x:row r="45" ht="28" customHeight="1">
      <x:c r="A45" t="str">
        <x:v>Weapon</x:v>
      </x:c>
      <x:c r="B45" t="str">
        <x:v>attack_pattern_id @ 3</x:v>
      </x:c>
      <x:c r="C45" t="str">
        <x:v>pattern_hammer</x:v>
      </x:c>
      <x:c r="D45" t="str">
        <x:f>IF(COUNTIFS('AttackPattern'!$A$2:$A$1001,'Weapon'!D3)=1,"OK","ERROR")</x:f>
        <x:v>OK</x:v>
      </x:c>
    </x:row>
    <x:row r="46" ht="28" customHeight="1">
      <x:c r="A46" t="str">
        <x:v>Weapon</x:v>
      </x:c>
      <x:c r="B46" t="str">
        <x:v>attack_pattern_id @ 4</x:v>
      </x:c>
      <x:c r="C46" t="str">
        <x:v>pattern_greatsword</x:v>
      </x:c>
      <x:c r="D46" t="str">
        <x:f>IF(COUNTIFS('AttackPattern'!$A$2:$A$1001,'Weapon'!D4)=1,"OK","ERROR")</x:f>
        <x:v>OK</x:v>
      </x:c>
    </x:row>
    <x:row r="47" ht="28" customHeight="1">
      <x:c r="A47" t="str">
        <x:v>Weapon</x:v>
      </x:c>
      <x:c r="B47" t="str">
        <x:v>attack_pattern_id @ 5</x:v>
      </x:c>
      <x:c r="C47" t="str">
        <x:v>pattern_dagger</x:v>
      </x:c>
      <x:c r="D47" t="str">
        <x:f>IF(COUNTIFS('AttackPattern'!$A$2:$A$1001,'Weapon'!D5)=1,"OK","ERROR")</x:f>
        <x:v>OK</x:v>
      </x:c>
    </x:row>
    <x:row r="48" ht="28" customHeight="1">
      <x:c r="A48" t="str">
        <x:v>Weapon</x:v>
      </x:c>
      <x:c r="B48" t="str">
        <x:v>attack_pattern_id @ 6</x:v>
      </x:c>
      <x:c r="C48" t="str">
        <x:v>pattern_sword_shield</x:v>
      </x:c>
      <x:c r="D48" t="str">
        <x:f>IF(COUNTIFS('AttackPattern'!$A$2:$A$1001,'Weapon'!D6)=1,"OK","ERROR")</x:f>
        <x:v>OK</x:v>
      </x:c>
    </x:row>
    <x:row r="49" ht="28" customHeight="1">
      <x:c r="A49" t="str">
        <x:v>Weapon</x:v>
      </x:c>
      <x:c r="B49" t="str">
        <x:v>attack_pattern_id @ 7</x:v>
      </x:c>
      <x:c r="C49" t="str">
        <x:v>pattern_bow</x:v>
      </x:c>
      <x:c r="D49" t="str">
        <x:f>IF(COUNTIFS('AttackPattern'!$A$2:$A$1001,'Weapon'!D7)=1,"OK","ERROR")</x:f>
        <x:v>OK</x:v>
      </x:c>
    </x:row>
    <x:row r="50" ht="28" customHeight="1">
      <x:c r="A50" t="str">
        <x:v>Weapon</x:v>
      </x:c>
      <x:c r="B50" t="str">
        <x:v>attack_pattern_id @ 8</x:v>
      </x:c>
      <x:c r="C50" t="str">
        <x:v>pattern_staff</x:v>
      </x:c>
      <x:c r="D50" t="str">
        <x:f>IF(COUNTIFS('AttackPattern'!$A$2:$A$1001,'Weapon'!D8)=1,"OK","ERROR")</x:f>
        <x:v>OK</x:v>
      </x:c>
    </x:row>
    <x:row r="51" ht="28" customHeight="1">
      <x:c r="A51" t="str">
        <x:v>Upgrade</x:v>
      </x:c>
      <x:c r="B51" t="str">
        <x:v>name_key @ 2</x:v>
      </x:c>
      <x:c r="C51" t="str">
        <x:v>name_upgrade_m2_sp_line</x:v>
      </x:c>
      <x:c r="D51" t="str">
        <x:f>IF(COUNTIFS('Text'!$A$2:$A$1001,'Upgrade'!B2)=1,"OK","ERROR")</x:f>
        <x:v>OK</x:v>
      </x:c>
    </x:row>
    <x:row r="52" ht="28" customHeight="1">
      <x:c r="A52" t="str">
        <x:v>Upgrade</x:v>
      </x:c>
      <x:c r="B52" t="str">
        <x:v>name_key @ 3</x:v>
      </x:c>
      <x:c r="C52" t="str">
        <x:v>name_upgrade_m2_sp_pursuit</x:v>
      </x:c>
      <x:c r="D52" t="str">
        <x:f>IF(COUNTIFS('Text'!$A$2:$A$1001,'Upgrade'!B3)=1,"OK","ERROR")</x:f>
        <x:v>OK</x:v>
      </x:c>
    </x:row>
    <x:row r="53" ht="28" customHeight="1">
      <x:c r="A53" t="str">
        <x:v>Upgrade</x:v>
      </x:c>
      <x:c r="B53" t="str">
        <x:v>name_key @ 4</x:v>
      </x:c>
      <x:c r="C53" t="str">
        <x:v>name_upgrade_m2_hm_return</x:v>
      </x:c>
      <x:c r="D53" t="str">
        <x:f>IF(COUNTIFS('Text'!$A$2:$A$1001,'Upgrade'!B4)=1,"OK","ERROR")</x:f>
        <x:v>OK</x:v>
      </x:c>
    </x:row>
    <x:row r="54" ht="28" customHeight="1">
      <x:c r="A54" t="str">
        <x:v>Upgrade</x:v>
      </x:c>
      <x:c r="B54" t="str">
        <x:v>name_key @ 5</x:v>
      </x:c>
      <x:c r="C54" t="str">
        <x:v>name_upgrade_m2_hm_impact</x:v>
      </x:c>
      <x:c r="D54" t="str">
        <x:f>IF(COUNTIFS('Text'!$A$2:$A$1001,'Upgrade'!B5)=1,"OK","ERROR")</x:f>
        <x:v>OK</x:v>
      </x:c>
    </x:row>
    <x:row r="55" ht="28" customHeight="1">
      <x:c r="A55" t="str">
        <x:v>Upgrade</x:v>
      </x:c>
      <x:c r="B55" t="str">
        <x:v>name_key @ 6</x:v>
      </x:c>
      <x:c r="C55" t="str">
        <x:v>name_upgrade_m2_gs_seal</x:v>
      </x:c>
      <x:c r="D55" t="str">
        <x:f>IF(COUNTIFS('Text'!$A$2:$A$1001,'Upgrade'!B6)=1,"OK","ERROR")</x:f>
        <x:v>OK</x:v>
      </x:c>
    </x:row>
    <x:row r="56" ht="28" customHeight="1">
      <x:c r="A56" t="str">
        <x:v>Upgrade</x:v>
      </x:c>
      <x:c r="B56" t="str">
        <x:v>name_key @ 7</x:v>
      </x:c>
      <x:c r="C56" t="str">
        <x:v>name_upgrade_m2_dg_stalk</x:v>
      </x:c>
      <x:c r="D56" t="str">
        <x:f>IF(COUNTIFS('Text'!$A$2:$A$1001,'Upgrade'!B7)=1,"OK","ERROR")</x:f>
        <x:v>OK</x:v>
      </x:c>
    </x:row>
    <x:row r="57" ht="28" customHeight="1">
      <x:c r="A57" t="str">
        <x:v>Upgrade</x:v>
      </x:c>
      <x:c r="B57" t="str">
        <x:v>name_key @ 8</x:v>
      </x:c>
      <x:c r="C57" t="str">
        <x:v>name_upgrade_m2_ss_counter</x:v>
      </x:c>
      <x:c r="D57" t="str">
        <x:f>IF(COUNTIFS('Text'!$A$2:$A$1001,'Upgrade'!B8)=1,"OK","ERROR")</x:f>
        <x:v>OK</x:v>
      </x:c>
    </x:row>
    <x:row r="58" ht="28" customHeight="1">
      <x:c r="A58" t="str">
        <x:v>Upgrade</x:v>
      </x:c>
      <x:c r="B58" t="str">
        <x:v>name_key @ 9</x:v>
      </x:c>
      <x:c r="C58" t="str">
        <x:v>name_upgrade_m2_bw_aim</x:v>
      </x:c>
      <x:c r="D58" t="str">
        <x:f>IF(COUNTIFS('Text'!$A$2:$A$1001,'Upgrade'!B9)=1,"OK","ERROR")</x:f>
        <x:v>OK</x:v>
      </x:c>
    </x:row>
    <x:row r="59" ht="28" customHeight="1">
      <x:c r="A59" t="str">
        <x:v>Upgrade</x:v>
      </x:c>
      <x:c r="B59" t="str">
        <x:v>name_key @ 10</x:v>
      </x:c>
      <x:c r="C59" t="str">
        <x:v>name_upgrade_m2_bw_move</x:v>
      </x:c>
      <x:c r="D59" t="str">
        <x:f>IF(COUNTIFS('Text'!$A$2:$A$1001,'Upgrade'!B10)=1,"OK","ERROR")</x:f>
        <x:v>OK</x:v>
      </x:c>
    </x:row>
    <x:row r="60" ht="28" customHeight="1">
      <x:c r="A60" t="str">
        <x:v>Upgrade</x:v>
      </x:c>
      <x:c r="B60" t="str">
        <x:v>name_key @ 11</x:v>
      </x:c>
      <x:c r="C60" t="str">
        <x:v>name_upgrade_m2_st_cadence</x:v>
      </x:c>
      <x:c r="D60" t="str">
        <x:f>IF(COUNTIFS('Text'!$A$2:$A$1001,'Upgrade'!B11)=1,"OK","ERROR")</x:f>
        <x:v>OK</x:v>
      </x:c>
    </x:row>
    <x:row r="61" ht="28" customHeight="1">
      <x:c r="A61" t="str">
        <x:v>Upgrade</x:v>
      </x:c>
      <x:c r="B61" t="str">
        <x:v>name_key @ 12</x:v>
      </x:c>
      <x:c r="C61" t="str">
        <x:v>name_upgrade_m3_zeu_sp</x:v>
      </x:c>
      <x:c r="D61" t="str">
        <x:f>IF(COUNTIFS('Text'!$A$2:$A$1001,'Upgrade'!B12)=1,"OK","ERROR")</x:f>
        <x:v>OK</x:v>
      </x:c>
    </x:row>
    <x:row r="62" ht="28" customHeight="1">
      <x:c r="A62" t="str">
        <x:v>Upgrade</x:v>
      </x:c>
      <x:c r="B62" t="str">
        <x:v>name_key @ 13</x:v>
      </x:c>
      <x:c r="C62" t="str">
        <x:v>name_upgrade_m3_zeu_hm</x:v>
      </x:c>
      <x:c r="D62" t="str">
        <x:f>IF(COUNTIFS('Text'!$A$2:$A$1001,'Upgrade'!B13)=1,"OK","ERROR")</x:f>
        <x:v>OK</x:v>
      </x:c>
    </x:row>
    <x:row r="63" ht="28" customHeight="1">
      <x:c r="A63" t="str">
        <x:v>Upgrade</x:v>
      </x:c>
      <x:c r="B63" t="str">
        <x:v>name_key @ 14</x:v>
      </x:c>
      <x:c r="C63" t="str">
        <x:v>name_upgrade_m3_zeu_ss</x:v>
      </x:c>
      <x:c r="D63" t="str">
        <x:f>IF(COUNTIFS('Text'!$A$2:$A$1001,'Upgrade'!B14)=1,"OK","ERROR")</x:f>
        <x:v>OK</x:v>
      </x:c>
    </x:row>
    <x:row r="64" ht="28" customHeight="1">
      <x:c r="A64" t="str">
        <x:v>Upgrade</x:v>
      </x:c>
      <x:c r="B64" t="str">
        <x:v>name_key @ 15</x:v>
      </x:c>
      <x:c r="C64" t="str">
        <x:v>name_upgrade_m3_tho_hm_r</x:v>
      </x:c>
      <x:c r="D64" t="str">
        <x:f>IF(COUNTIFS('Text'!$A$2:$A$1001,'Upgrade'!B15)=1,"OK","ERROR")</x:f>
        <x:v>OK</x:v>
      </x:c>
    </x:row>
    <x:row r="65" ht="28" customHeight="1">
      <x:c r="A65" t="str">
        <x:v>Upgrade</x:v>
      </x:c>
      <x:c r="B65" t="str">
        <x:v>name_key @ 16</x:v>
      </x:c>
      <x:c r="C65" t="str">
        <x:v>name_upgrade_m3_tho_hm_i</x:v>
      </x:c>
      <x:c r="D65" t="str">
        <x:f>IF(COUNTIFS('Text'!$A$2:$A$1001,'Upgrade'!B16)=1,"OK","ERROR")</x:f>
        <x:v>OK</x:v>
      </x:c>
    </x:row>
    <x:row r="66" ht="28" customHeight="1">
      <x:c r="A66" t="str">
        <x:v>Upgrade</x:v>
      </x:c>
      <x:c r="B66" t="str">
        <x:v>name_key @ 17</x:v>
      </x:c>
      <x:c r="C66" t="str">
        <x:v>name_upgrade_m3_apo_sp</x:v>
      </x:c>
      <x:c r="D66" t="str">
        <x:f>IF(COUNTIFS('Text'!$A$2:$A$1001,'Upgrade'!B17)=1,"OK","ERROR")</x:f>
        <x:v>OK</x:v>
      </x:c>
    </x:row>
    <x:row r="67" ht="28" customHeight="1">
      <x:c r="A67" t="str">
        <x:v>Upgrade</x:v>
      </x:c>
      <x:c r="B67" t="str">
        <x:v>name_key @ 18</x:v>
      </x:c>
      <x:c r="C67" t="str">
        <x:v>name_upgrade_m3_apo_bw</x:v>
      </x:c>
      <x:c r="D67" t="str">
        <x:f>IF(COUNTIFS('Text'!$A$2:$A$1001,'Upgrade'!B18)=1,"OK","ERROR")</x:f>
        <x:v>OK</x:v>
      </x:c>
    </x:row>
    <x:row r="68" ht="28" customHeight="1">
      <x:c r="A68" t="str">
        <x:v>Upgrade</x:v>
      </x:c>
      <x:c r="B68" t="str">
        <x:v>name_key @ 19</x:v>
      </x:c>
      <x:c r="C68" t="str">
        <x:v>name_upgrade_m3_apo_st</x:v>
      </x:c>
      <x:c r="D68" t="str">
        <x:f>IF(COUNTIFS('Text'!$A$2:$A$1001,'Upgrade'!B19)=1,"OK","ERROR")</x:f>
        <x:v>OK</x:v>
      </x:c>
    </x:row>
    <x:row r="69" ht="28" customHeight="1">
      <x:c r="A69" t="str">
        <x:v>Upgrade</x:v>
      </x:c>
      <x:c r="B69" t="str">
        <x:v>name_key @ 20</x:v>
      </x:c>
      <x:c r="C69" t="str">
        <x:v>name_upgrade_m3_are_sp</x:v>
      </x:c>
      <x:c r="D69" t="str">
        <x:f>IF(COUNTIFS('Text'!$A$2:$A$1001,'Upgrade'!B20)=1,"OK","ERROR")</x:f>
        <x:v>OK</x:v>
      </x:c>
    </x:row>
    <x:row r="70" ht="28" customHeight="1">
      <x:c r="A70" t="str">
        <x:v>Upgrade</x:v>
      </x:c>
      <x:c r="B70" t="str">
        <x:v>name_key @ 21</x:v>
      </x:c>
      <x:c r="C70" t="str">
        <x:v>name_upgrade_m3_are_gs</x:v>
      </x:c>
      <x:c r="D70" t="str">
        <x:f>IF(COUNTIFS('Text'!$A$2:$A$1001,'Upgrade'!B21)=1,"OK","ERROR")</x:f>
        <x:v>OK</x:v>
      </x:c>
    </x:row>
    <x:row r="71" ht="28" customHeight="1">
      <x:c r="A71" t="str">
        <x:v>Upgrade</x:v>
      </x:c>
      <x:c r="B71" t="str">
        <x:v>name_key @ 22</x:v>
      </x:c>
      <x:c r="C71" t="str">
        <x:v>name_upgrade_m3_are_ss</x:v>
      </x:c>
      <x:c r="D71" t="str">
        <x:f>IF(COUNTIFS('Text'!$A$2:$A$1001,'Upgrade'!B22)=1,"OK","ERROR")</x:f>
        <x:v>OK</x:v>
      </x:c>
    </x:row>
    <x:row r="72" ht="28" customHeight="1">
      <x:c r="A72" t="str">
        <x:v>Upgrade</x:v>
      </x:c>
      <x:c r="B72" t="str">
        <x:v>name_key @ 23</x:v>
      </x:c>
      <x:c r="C72" t="str">
        <x:v>name_upgrade_m3_had_gs</x:v>
      </x:c>
      <x:c r="D72" t="str">
        <x:f>IF(COUNTIFS('Text'!$A$2:$A$1001,'Upgrade'!B23)=1,"OK","ERROR")</x:f>
        <x:v>OK</x:v>
      </x:c>
    </x:row>
    <x:row r="73" ht="28" customHeight="1">
      <x:c r="A73" t="str">
        <x:v>Upgrade</x:v>
      </x:c>
      <x:c r="B73" t="str">
        <x:v>name_key @ 24</x:v>
      </x:c>
      <x:c r="C73" t="str">
        <x:v>name_upgrade_m3_had_dg</x:v>
      </x:c>
      <x:c r="D73" t="str">
        <x:f>IF(COUNTIFS('Text'!$A$2:$A$1001,'Upgrade'!B24)=1,"OK","ERROR")</x:f>
        <x:v>OK</x:v>
      </x:c>
    </x:row>
    <x:row r="74" ht="28" customHeight="1">
      <x:c r="A74" t="str">
        <x:v>Upgrade</x:v>
      </x:c>
      <x:c r="B74" t="str">
        <x:v>name_key @ 25</x:v>
      </x:c>
      <x:c r="C74" t="str">
        <x:v>name_upgrade_m3_art_sp</x:v>
      </x:c>
      <x:c r="D74" t="str">
        <x:f>IF(COUNTIFS('Text'!$A$2:$A$1001,'Upgrade'!B25)=1,"OK","ERROR")</x:f>
        <x:v>OK</x:v>
      </x:c>
    </x:row>
    <x:row r="75" ht="28" customHeight="1">
      <x:c r="A75" t="str">
        <x:v>Upgrade</x:v>
      </x:c>
      <x:c r="B75" t="str">
        <x:v>name_key @ 26</x:v>
      </x:c>
      <x:c r="C75" t="str">
        <x:v>name_upgrade_m3_art_dg</x:v>
      </x:c>
      <x:c r="D75" t="str">
        <x:f>IF(COUNTIFS('Text'!$A$2:$A$1001,'Upgrade'!B26)=1,"OK","ERROR")</x:f>
        <x:v>OK</x:v>
      </x:c>
    </x:row>
    <x:row r="76" ht="28" customHeight="1">
      <x:c r="A76" t="str">
        <x:v>Upgrade</x:v>
      </x:c>
      <x:c r="B76" t="str">
        <x:v>name_key @ 27</x:v>
      </x:c>
      <x:c r="C76" t="str">
        <x:v>name_upgrade_m3_art_bw</x:v>
      </x:c>
      <x:c r="D76" t="str">
        <x:f>IF(COUNTIFS('Text'!$A$2:$A$1001,'Upgrade'!B27)=1,"OK","ERROR")</x:f>
        <x:v>OK</x:v>
      </x:c>
    </x:row>
    <x:row r="77" ht="28" customHeight="1">
      <x:c r="A77" t="str">
        <x:v>Upgrade</x:v>
      </x:c>
      <x:c r="B77" t="str">
        <x:v>name_key @ 28</x:v>
      </x:c>
      <x:c r="C77" t="str">
        <x:v>name_upgrade_m3_ska_bw</x:v>
      </x:c>
      <x:c r="D77" t="str">
        <x:f>IF(COUNTIFS('Text'!$A$2:$A$1001,'Upgrade'!B28)=1,"OK","ERROR")</x:f>
        <x:v>OK</x:v>
      </x:c>
    </x:row>
    <x:row r="78" ht="28" customHeight="1">
      <x:c r="A78" t="str">
        <x:v>Upgrade</x:v>
      </x:c>
      <x:c r="B78" t="str">
        <x:v>name_key @ 29</x:v>
      </x:c>
      <x:c r="C78" t="str">
        <x:v>name_upgrade_m3_ska_st</x:v>
      </x:c>
      <x:c r="D78" t="str">
        <x:f>IF(COUNTIFS('Text'!$A$2:$A$1001,'Upgrade'!B29)=1,"OK","ERROR")</x:f>
        <x:v>OK</x:v>
      </x:c>
    </x:row>
    <x:row r="79" ht="28" customHeight="1">
      <x:c r="A79" t="str">
        <x:v>Upgrade</x:v>
      </x:c>
      <x:c r="B79" t="str">
        <x:v>weapon_family_id @ 2</x:v>
      </x:c>
      <x:c r="C79" t="str">
        <x:v>family_spear</x:v>
      </x:c>
      <x:c r="D79" t="str">
        <x:f>IF(COUNTIFS('WeaponFamily'!$A$2:$A$1001,'Upgrade'!C2)=1,"OK","ERROR")</x:f>
        <x:v>OK</x:v>
      </x:c>
    </x:row>
    <x:row r="80" ht="28" customHeight="1">
      <x:c r="A80" t="str">
        <x:v>Upgrade</x:v>
      </x:c>
      <x:c r="B80" t="str">
        <x:v>weapon_family_id @ 3</x:v>
      </x:c>
      <x:c r="C80" t="str">
        <x:v>family_spear</x:v>
      </x:c>
      <x:c r="D80" t="str">
        <x:f>IF(COUNTIFS('WeaponFamily'!$A$2:$A$1001,'Upgrade'!C3)=1,"OK","ERROR")</x:f>
        <x:v>OK</x:v>
      </x:c>
    </x:row>
    <x:row r="81" ht="28" customHeight="1">
      <x:c r="A81" t="str">
        <x:v>Upgrade</x:v>
      </x:c>
      <x:c r="B81" t="str">
        <x:v>weapon_family_id @ 4</x:v>
      </x:c>
      <x:c r="C81" t="str">
        <x:v>family_hammer</x:v>
      </x:c>
      <x:c r="D81" t="str">
        <x:f>IF(COUNTIFS('WeaponFamily'!$A$2:$A$1001,'Upgrade'!C4)=1,"OK","ERROR")</x:f>
        <x:v>OK</x:v>
      </x:c>
    </x:row>
    <x:row r="82" ht="28" customHeight="1">
      <x:c r="A82" t="str">
        <x:v>Upgrade</x:v>
      </x:c>
      <x:c r="B82" t="str">
        <x:v>weapon_family_id @ 5</x:v>
      </x:c>
      <x:c r="C82" t="str">
        <x:v>family_hammer</x:v>
      </x:c>
      <x:c r="D82" t="str">
        <x:f>IF(COUNTIFS('WeaponFamily'!$A$2:$A$1001,'Upgrade'!C5)=1,"OK","ERROR")</x:f>
        <x:v>OK</x:v>
      </x:c>
    </x:row>
    <x:row r="83" ht="28" customHeight="1">
      <x:c r="A83" t="str">
        <x:v>Upgrade</x:v>
      </x:c>
      <x:c r="B83" t="str">
        <x:v>weapon_family_id @ 6</x:v>
      </x:c>
      <x:c r="C83" t="str">
        <x:v>family_greatsword</x:v>
      </x:c>
      <x:c r="D83" t="str">
        <x:f>IF(COUNTIFS('WeaponFamily'!$A$2:$A$1001,'Upgrade'!C6)=1,"OK","ERROR")</x:f>
        <x:v>OK</x:v>
      </x:c>
    </x:row>
    <x:row r="84" ht="28" customHeight="1">
      <x:c r="A84" t="str">
        <x:v>Upgrade</x:v>
      </x:c>
      <x:c r="B84" t="str">
        <x:v>weapon_family_id @ 7</x:v>
      </x:c>
      <x:c r="C84" t="str">
        <x:v>family_dagger</x:v>
      </x:c>
      <x:c r="D84" t="str">
        <x:f>IF(COUNTIFS('WeaponFamily'!$A$2:$A$1001,'Upgrade'!C7)=1,"OK","ERROR")</x:f>
        <x:v>OK</x:v>
      </x:c>
    </x:row>
    <x:row r="85" ht="28" customHeight="1">
      <x:c r="A85" t="str">
        <x:v>Upgrade</x:v>
      </x:c>
      <x:c r="B85" t="str">
        <x:v>weapon_family_id @ 8</x:v>
      </x:c>
      <x:c r="C85" t="str">
        <x:v>family_sword_shield</x:v>
      </x:c>
      <x:c r="D85" t="str">
        <x:f>IF(COUNTIFS('WeaponFamily'!$A$2:$A$1001,'Upgrade'!C8)=1,"OK","ERROR")</x:f>
        <x:v>OK</x:v>
      </x:c>
    </x:row>
    <x:row r="86" ht="28" customHeight="1">
      <x:c r="A86" t="str">
        <x:v>Upgrade</x:v>
      </x:c>
      <x:c r="B86" t="str">
        <x:v>weapon_family_id @ 9</x:v>
      </x:c>
      <x:c r="C86" t="str">
        <x:v>family_bow</x:v>
      </x:c>
      <x:c r="D86" t="str">
        <x:f>IF(COUNTIFS('WeaponFamily'!$A$2:$A$1001,'Upgrade'!C9)=1,"OK","ERROR")</x:f>
        <x:v>OK</x:v>
      </x:c>
    </x:row>
    <x:row r="87" ht="28" customHeight="1">
      <x:c r="A87" t="str">
        <x:v>Upgrade</x:v>
      </x:c>
      <x:c r="B87" t="str">
        <x:v>weapon_family_id @ 10</x:v>
      </x:c>
      <x:c r="C87" t="str">
        <x:v>family_bow</x:v>
      </x:c>
      <x:c r="D87" t="str">
        <x:f>IF(COUNTIFS('WeaponFamily'!$A$2:$A$1001,'Upgrade'!C10)=1,"OK","ERROR")</x:f>
        <x:v>OK</x:v>
      </x:c>
    </x:row>
    <x:row r="88" ht="28" customHeight="1">
      <x:c r="A88" t="str">
        <x:v>Upgrade</x:v>
      </x:c>
      <x:c r="B88" t="str">
        <x:v>weapon_family_id @ 11</x:v>
      </x:c>
      <x:c r="C88" t="str">
        <x:v>family_staff</x:v>
      </x:c>
      <x:c r="D88" t="str">
        <x:f>IF(COUNTIFS('WeaponFamily'!$A$2:$A$1001,'Upgrade'!C11)=1,"OK","ERROR")</x:f>
        <x:v>OK</x:v>
      </x:c>
    </x:row>
    <x:row r="89" ht="28" customHeight="1">
      <x:c r="A89" t="str">
        <x:v>Upgrade</x:v>
      </x:c>
      <x:c r="B89" t="str">
        <x:v>weapon_family_id @ 12</x:v>
      </x:c>
      <x:c r="C89" t="str">
        <x:v>family_spear</x:v>
      </x:c>
      <x:c r="D89" t="str">
        <x:f>IF(COUNTIFS('WeaponFamily'!$A$2:$A$1001,'Upgrade'!C12)=1,"OK","ERROR")</x:f>
        <x:v>OK</x:v>
      </x:c>
    </x:row>
    <x:row r="90" ht="28" customHeight="1">
      <x:c r="A90" t="str">
        <x:v>Upgrade</x:v>
      </x:c>
      <x:c r="B90" t="str">
        <x:v>weapon_family_id @ 13</x:v>
      </x:c>
      <x:c r="C90" t="str">
        <x:v>family_hammer</x:v>
      </x:c>
      <x:c r="D90" t="str">
        <x:f>IF(COUNTIFS('WeaponFamily'!$A$2:$A$1001,'Upgrade'!C13)=1,"OK","ERROR")</x:f>
        <x:v>OK</x:v>
      </x:c>
    </x:row>
    <x:row r="91" ht="28" customHeight="1">
      <x:c r="A91" t="str">
        <x:v>Upgrade</x:v>
      </x:c>
      <x:c r="B91" t="str">
        <x:v>weapon_family_id @ 14</x:v>
      </x:c>
      <x:c r="C91" t="str">
        <x:v>family_sword_shield</x:v>
      </x:c>
      <x:c r="D91" t="str">
        <x:f>IF(COUNTIFS('WeaponFamily'!$A$2:$A$1001,'Upgrade'!C14)=1,"OK","ERROR")</x:f>
        <x:v>OK</x:v>
      </x:c>
    </x:row>
    <x:row r="92" ht="28" customHeight="1">
      <x:c r="A92" t="str">
        <x:v>Upgrade</x:v>
      </x:c>
      <x:c r="B92" t="str">
        <x:v>weapon_family_id @ 15</x:v>
      </x:c>
      <x:c r="C92" t="str">
        <x:v>family_hammer</x:v>
      </x:c>
      <x:c r="D92" t="str">
        <x:f>IF(COUNTIFS('WeaponFamily'!$A$2:$A$1001,'Upgrade'!C15)=1,"OK","ERROR")</x:f>
        <x:v>OK</x:v>
      </x:c>
    </x:row>
    <x:row r="93" ht="28" customHeight="1">
      <x:c r="A93" t="str">
        <x:v>Upgrade</x:v>
      </x:c>
      <x:c r="B93" t="str">
        <x:v>weapon_family_id @ 16</x:v>
      </x:c>
      <x:c r="C93" t="str">
        <x:v>family_hammer</x:v>
      </x:c>
      <x:c r="D93" t="str">
        <x:f>IF(COUNTIFS('WeaponFamily'!$A$2:$A$1001,'Upgrade'!C16)=1,"OK","ERROR")</x:f>
        <x:v>OK</x:v>
      </x:c>
    </x:row>
    <x:row r="94" ht="28" customHeight="1">
      <x:c r="A94" t="str">
        <x:v>Upgrade</x:v>
      </x:c>
      <x:c r="B94" t="str">
        <x:v>weapon_family_id @ 17</x:v>
      </x:c>
      <x:c r="C94" t="str">
        <x:v>family_spear</x:v>
      </x:c>
      <x:c r="D94" t="str">
        <x:f>IF(COUNTIFS('WeaponFamily'!$A$2:$A$1001,'Upgrade'!C17)=1,"OK","ERROR")</x:f>
        <x:v>OK</x:v>
      </x:c>
    </x:row>
    <x:row r="95" ht="28" customHeight="1">
      <x:c r="A95" t="str">
        <x:v>Upgrade</x:v>
      </x:c>
      <x:c r="B95" t="str">
        <x:v>weapon_family_id @ 18</x:v>
      </x:c>
      <x:c r="C95" t="str">
        <x:v>family_bow</x:v>
      </x:c>
      <x:c r="D95" t="str">
        <x:f>IF(COUNTIFS('WeaponFamily'!$A$2:$A$1001,'Upgrade'!C18)=1,"OK","ERROR")</x:f>
        <x:v>OK</x:v>
      </x:c>
    </x:row>
    <x:row r="96" ht="28" customHeight="1">
      <x:c r="A96" t="str">
        <x:v>Upgrade</x:v>
      </x:c>
      <x:c r="B96" t="str">
        <x:v>weapon_family_id @ 19</x:v>
      </x:c>
      <x:c r="C96" t="str">
        <x:v>family_staff</x:v>
      </x:c>
      <x:c r="D96" t="str">
        <x:f>IF(COUNTIFS('WeaponFamily'!$A$2:$A$1001,'Upgrade'!C19)=1,"OK","ERROR")</x:f>
        <x:v>OK</x:v>
      </x:c>
    </x:row>
    <x:row r="97" ht="28" customHeight="1">
      <x:c r="A97" t="str">
        <x:v>Upgrade</x:v>
      </x:c>
      <x:c r="B97" t="str">
        <x:v>weapon_family_id @ 20</x:v>
      </x:c>
      <x:c r="C97" t="str">
        <x:v>family_spear</x:v>
      </x:c>
      <x:c r="D97" t="str">
        <x:f>IF(COUNTIFS('WeaponFamily'!$A$2:$A$1001,'Upgrade'!C20)=1,"OK","ERROR")</x:f>
        <x:v>OK</x:v>
      </x:c>
    </x:row>
    <x:row r="98" ht="28" customHeight="1">
      <x:c r="A98" t="str">
        <x:v>Upgrade</x:v>
      </x:c>
      <x:c r="B98" t="str">
        <x:v>weapon_family_id @ 21</x:v>
      </x:c>
      <x:c r="C98" t="str">
        <x:v>family_greatsword</x:v>
      </x:c>
      <x:c r="D98" t="str">
        <x:f>IF(COUNTIFS('WeaponFamily'!$A$2:$A$1001,'Upgrade'!C21)=1,"OK","ERROR")</x:f>
        <x:v>OK</x:v>
      </x:c>
    </x:row>
    <x:row r="99" ht="28" customHeight="1">
      <x:c r="A99" t="str">
        <x:v>Upgrade</x:v>
      </x:c>
      <x:c r="B99" t="str">
        <x:v>weapon_family_id @ 22</x:v>
      </x:c>
      <x:c r="C99" t="str">
        <x:v>family_sword_shield</x:v>
      </x:c>
      <x:c r="D99" t="str">
        <x:f>IF(COUNTIFS('WeaponFamily'!$A$2:$A$1001,'Upgrade'!C22)=1,"OK","ERROR")</x:f>
        <x:v>OK</x:v>
      </x:c>
    </x:row>
    <x:row r="100" ht="28" customHeight="1">
      <x:c r="A100" t="str">
        <x:v>Upgrade</x:v>
      </x:c>
      <x:c r="B100" t="str">
        <x:v>weapon_family_id @ 23</x:v>
      </x:c>
      <x:c r="C100" t="str">
        <x:v>family_greatsword</x:v>
      </x:c>
      <x:c r="D100" t="str">
        <x:f>IF(COUNTIFS('WeaponFamily'!$A$2:$A$1001,'Upgrade'!C23)=1,"OK","ERROR")</x:f>
        <x:v>OK</x:v>
      </x:c>
    </x:row>
    <x:row r="101" ht="28" customHeight="1">
      <x:c r="A101" t="str">
        <x:v>Upgrade</x:v>
      </x:c>
      <x:c r="B101" t="str">
        <x:v>weapon_family_id @ 24</x:v>
      </x:c>
      <x:c r="C101" t="str">
        <x:v>family_dagger</x:v>
      </x:c>
      <x:c r="D101" t="str">
        <x:f>IF(COUNTIFS('WeaponFamily'!$A$2:$A$1001,'Upgrade'!C24)=1,"OK","ERROR")</x:f>
        <x:v>OK</x:v>
      </x:c>
    </x:row>
    <x:row r="102" ht="28" customHeight="1">
      <x:c r="A102" t="str">
        <x:v>Upgrade</x:v>
      </x:c>
      <x:c r="B102" t="str">
        <x:v>weapon_family_id @ 25</x:v>
      </x:c>
      <x:c r="C102" t="str">
        <x:v>family_spear</x:v>
      </x:c>
      <x:c r="D102" t="str">
        <x:f>IF(COUNTIFS('WeaponFamily'!$A$2:$A$1001,'Upgrade'!C25)=1,"OK","ERROR")</x:f>
        <x:v>OK</x:v>
      </x:c>
    </x:row>
    <x:row r="103" ht="28" customHeight="1">
      <x:c r="A103" t="str">
        <x:v>Upgrade</x:v>
      </x:c>
      <x:c r="B103" t="str">
        <x:v>weapon_family_id @ 26</x:v>
      </x:c>
      <x:c r="C103" t="str">
        <x:v>family_dagger</x:v>
      </x:c>
      <x:c r="D103" t="str">
        <x:f>IF(COUNTIFS('WeaponFamily'!$A$2:$A$1001,'Upgrade'!C26)=1,"OK","ERROR")</x:f>
        <x:v>OK</x:v>
      </x:c>
    </x:row>
    <x:row r="104" ht="28" customHeight="1">
      <x:c r="A104" t="str">
        <x:v>Upgrade</x:v>
      </x:c>
      <x:c r="B104" t="str">
        <x:v>weapon_family_id @ 27</x:v>
      </x:c>
      <x:c r="C104" t="str">
        <x:v>family_bow</x:v>
      </x:c>
      <x:c r="D104" t="str">
        <x:f>IF(COUNTIFS('WeaponFamily'!$A$2:$A$1001,'Upgrade'!C27)=1,"OK","ERROR")</x:f>
        <x:v>OK</x:v>
      </x:c>
    </x:row>
    <x:row r="105" ht="28" customHeight="1">
      <x:c r="A105" t="str">
        <x:v>Upgrade</x:v>
      </x:c>
      <x:c r="B105" t="str">
        <x:v>weapon_family_id @ 28</x:v>
      </x:c>
      <x:c r="C105" t="str">
        <x:v>family_bow</x:v>
      </x:c>
      <x:c r="D105" t="str">
        <x:f>IF(COUNTIFS('WeaponFamily'!$A$2:$A$1001,'Upgrade'!C28)=1,"OK","ERROR")</x:f>
        <x:v>OK</x:v>
      </x:c>
    </x:row>
    <x:row r="106" ht="28" customHeight="1">
      <x:c r="A106" t="str">
        <x:v>Upgrade</x:v>
      </x:c>
      <x:c r="B106" t="str">
        <x:v>weapon_family_id @ 29</x:v>
      </x:c>
      <x:c r="C106" t="str">
        <x:v>family_staff</x:v>
      </x:c>
      <x:c r="D106" t="str">
        <x:f>IF(COUNTIFS('WeaponFamily'!$A$2:$A$1001,'Upgrade'!C29)=1,"OK","ERROR")</x:f>
        <x:v>OK</x:v>
      </x:c>
    </x:row>
    <x:row r="107" ht="28" customHeight="1">
      <x:c r="A107" t="str">
        <x:v>ProgressionEdge</x:v>
      </x:c>
      <x:c r="B107" t="str">
        <x:v>to_upgrade_id @ 2</x:v>
      </x:c>
      <x:c r="C107" t="str">
        <x:v>upgrade_m2_sp_line</x:v>
      </x:c>
      <x:c r="D107" t="str">
        <x:f>IF(COUNTIFS('Upgrade'!$A$2:$A$1001,'ProgressionEdge'!D2)=1,"OK","ERROR")</x:f>
        <x:v>OK</x:v>
      </x:c>
    </x:row>
    <x:row r="108" ht="28" customHeight="1">
      <x:c r="A108" t="str">
        <x:v>ProgressionEdge</x:v>
      </x:c>
      <x:c r="B108" t="str">
        <x:v>to_upgrade_id @ 3</x:v>
      </x:c>
      <x:c r="C108" t="str">
        <x:v>upgrade_m2_sp_pursuit</x:v>
      </x:c>
      <x:c r="D108" t="str">
        <x:f>IF(COUNTIFS('Upgrade'!$A$2:$A$1001,'ProgressionEdge'!D3)=1,"OK","ERROR")</x:f>
        <x:v>OK</x:v>
      </x:c>
    </x:row>
    <x:row r="109" ht="28" customHeight="1">
      <x:c r="A109" t="str">
        <x:v>ProgressionEdge</x:v>
      </x:c>
      <x:c r="B109" t="str">
        <x:v>to_upgrade_id @ 4</x:v>
      </x:c>
      <x:c r="C109" t="str">
        <x:v>upgrade_m2_hm_return</x:v>
      </x:c>
      <x:c r="D109" t="str">
        <x:f>IF(COUNTIFS('Upgrade'!$A$2:$A$1001,'ProgressionEdge'!D4)=1,"OK","ERROR")</x:f>
        <x:v>OK</x:v>
      </x:c>
    </x:row>
    <x:row r="110" ht="28" customHeight="1">
      <x:c r="A110" t="str">
        <x:v>ProgressionEdge</x:v>
      </x:c>
      <x:c r="B110" t="str">
        <x:v>to_upgrade_id @ 5</x:v>
      </x:c>
      <x:c r="C110" t="str">
        <x:v>upgrade_m2_hm_impact</x:v>
      </x:c>
      <x:c r="D110" t="str">
        <x:f>IF(COUNTIFS('Upgrade'!$A$2:$A$1001,'ProgressionEdge'!D5)=1,"OK","ERROR")</x:f>
        <x:v>OK</x:v>
      </x:c>
    </x:row>
    <x:row r="111" ht="28" customHeight="1">
      <x:c r="A111" t="str">
        <x:v>ProgressionEdge</x:v>
      </x:c>
      <x:c r="B111" t="str">
        <x:v>to_upgrade_id @ 6</x:v>
      </x:c>
      <x:c r="C111" t="str">
        <x:v>upgrade_m2_gs_seal</x:v>
      </x:c>
      <x:c r="D111" t="str">
        <x:f>IF(COUNTIFS('Upgrade'!$A$2:$A$1001,'ProgressionEdge'!D6)=1,"OK","ERROR")</x:f>
        <x:v>OK</x:v>
      </x:c>
    </x:row>
    <x:row r="112" ht="28" customHeight="1">
      <x:c r="A112" t="str">
        <x:v>ProgressionEdge</x:v>
      </x:c>
      <x:c r="B112" t="str">
        <x:v>to_upgrade_id @ 7</x:v>
      </x:c>
      <x:c r="C112" t="str">
        <x:v>upgrade_m2_dg_stalk</x:v>
      </x:c>
      <x:c r="D112" t="str">
        <x:f>IF(COUNTIFS('Upgrade'!$A$2:$A$1001,'ProgressionEdge'!D7)=1,"OK","ERROR")</x:f>
        <x:v>OK</x:v>
      </x:c>
    </x:row>
    <x:row r="113" ht="28" customHeight="1">
      <x:c r="A113" t="str">
        <x:v>ProgressionEdge</x:v>
      </x:c>
      <x:c r="B113" t="str">
        <x:v>to_upgrade_id @ 8</x:v>
      </x:c>
      <x:c r="C113" t="str">
        <x:v>upgrade_m2_ss_counter</x:v>
      </x:c>
      <x:c r="D113" t="str">
        <x:f>IF(COUNTIFS('Upgrade'!$A$2:$A$1001,'ProgressionEdge'!D8)=1,"OK","ERROR")</x:f>
        <x:v>OK</x:v>
      </x:c>
    </x:row>
    <x:row r="114" ht="28" customHeight="1">
      <x:c r="A114" t="str">
        <x:v>ProgressionEdge</x:v>
      </x:c>
      <x:c r="B114" t="str">
        <x:v>to_upgrade_id @ 9</x:v>
      </x:c>
      <x:c r="C114" t="str">
        <x:v>upgrade_m2_bw_aim</x:v>
      </x:c>
      <x:c r="D114" t="str">
        <x:f>IF(COUNTIFS('Upgrade'!$A$2:$A$1001,'ProgressionEdge'!D9)=1,"OK","ERROR")</x:f>
        <x:v>OK</x:v>
      </x:c>
    </x:row>
    <x:row r="115" ht="28" customHeight="1">
      <x:c r="A115" t="str">
        <x:v>ProgressionEdge</x:v>
      </x:c>
      <x:c r="B115" t="str">
        <x:v>to_upgrade_id @ 10</x:v>
      </x:c>
      <x:c r="C115" t="str">
        <x:v>upgrade_m2_bw_move</x:v>
      </x:c>
      <x:c r="D115" t="str">
        <x:f>IF(COUNTIFS('Upgrade'!$A$2:$A$1001,'ProgressionEdge'!D10)=1,"OK","ERROR")</x:f>
        <x:v>OK</x:v>
      </x:c>
    </x:row>
    <x:row r="116" ht="28" customHeight="1">
      <x:c r="A116" t="str">
        <x:v>ProgressionEdge</x:v>
      </x:c>
      <x:c r="B116" t="str">
        <x:v>to_upgrade_id @ 11</x:v>
      </x:c>
      <x:c r="C116" t="str">
        <x:v>upgrade_m2_st_cadence</x:v>
      </x:c>
      <x:c r="D116" t="str">
        <x:f>IF(COUNTIFS('Upgrade'!$A$2:$A$1001,'ProgressionEdge'!D11)=1,"OK","ERROR")</x:f>
        <x:v>OK</x:v>
      </x:c>
    </x:row>
    <x:row r="117" ht="28" customHeight="1">
      <x:c r="A117" t="str">
        <x:v>ProgressionEdge</x:v>
      </x:c>
      <x:c r="B117" t="str">
        <x:v>to_upgrade_id @ 12</x:v>
      </x:c>
      <x:c r="C117" t="str">
        <x:v>upgrade_m3_zeu_sp</x:v>
      </x:c>
      <x:c r="D117" t="str">
        <x:f>IF(COUNTIFS('Upgrade'!$A$2:$A$1001,'ProgressionEdge'!D12)=1,"OK","ERROR")</x:f>
        <x:v>OK</x:v>
      </x:c>
    </x:row>
    <x:row r="118" ht="28" customHeight="1">
      <x:c r="A118" t="str">
        <x:v>ProgressionEdge</x:v>
      </x:c>
      <x:c r="B118" t="str">
        <x:v>to_upgrade_id @ 13</x:v>
      </x:c>
      <x:c r="C118" t="str">
        <x:v>upgrade_m3_zeu_hm</x:v>
      </x:c>
      <x:c r="D118" t="str">
        <x:f>IF(COUNTIFS('Upgrade'!$A$2:$A$1001,'ProgressionEdge'!D13)=1,"OK","ERROR")</x:f>
        <x:v>OK</x:v>
      </x:c>
    </x:row>
    <x:row r="119" ht="28" customHeight="1">
      <x:c r="A119" t="str">
        <x:v>ProgressionEdge</x:v>
      </x:c>
      <x:c r="B119" t="str">
        <x:v>to_upgrade_id @ 14</x:v>
      </x:c>
      <x:c r="C119" t="str">
        <x:v>upgrade_m3_zeu_ss</x:v>
      </x:c>
      <x:c r="D119" t="str">
        <x:f>IF(COUNTIFS('Upgrade'!$A$2:$A$1001,'ProgressionEdge'!D14)=1,"OK","ERROR")</x:f>
        <x:v>OK</x:v>
      </x:c>
    </x:row>
    <x:row r="120" ht="28" customHeight="1">
      <x:c r="A120" t="str">
        <x:v>ProgressionEdge</x:v>
      </x:c>
      <x:c r="B120" t="str">
        <x:v>to_upgrade_id @ 15</x:v>
      </x:c>
      <x:c r="C120" t="str">
        <x:v>upgrade_m3_tho_hm_r</x:v>
      </x:c>
      <x:c r="D120" t="str">
        <x:f>IF(COUNTIFS('Upgrade'!$A$2:$A$1001,'ProgressionEdge'!D15)=1,"OK","ERROR")</x:f>
        <x:v>OK</x:v>
      </x:c>
    </x:row>
    <x:row r="121" ht="28" customHeight="1">
      <x:c r="A121" t="str">
        <x:v>ProgressionEdge</x:v>
      </x:c>
      <x:c r="B121" t="str">
        <x:v>to_upgrade_id @ 16</x:v>
      </x:c>
      <x:c r="C121" t="str">
        <x:v>upgrade_m3_tho_hm_i</x:v>
      </x:c>
      <x:c r="D121" t="str">
        <x:f>IF(COUNTIFS('Upgrade'!$A$2:$A$1001,'ProgressionEdge'!D16)=1,"OK","ERROR")</x:f>
        <x:v>OK</x:v>
      </x:c>
    </x:row>
    <x:row r="122" ht="28" customHeight="1">
      <x:c r="A122" t="str">
        <x:v>ProgressionEdge</x:v>
      </x:c>
      <x:c r="B122" t="str">
        <x:v>to_upgrade_id @ 17</x:v>
      </x:c>
      <x:c r="C122" t="str">
        <x:v>upgrade_m3_apo_sp</x:v>
      </x:c>
      <x:c r="D122" t="str">
        <x:f>IF(COUNTIFS('Upgrade'!$A$2:$A$1001,'ProgressionEdge'!D17)=1,"OK","ERROR")</x:f>
        <x:v>OK</x:v>
      </x:c>
    </x:row>
    <x:row r="123" ht="28" customHeight="1">
      <x:c r="A123" t="str">
        <x:v>ProgressionEdge</x:v>
      </x:c>
      <x:c r="B123" t="str">
        <x:v>to_upgrade_id @ 18</x:v>
      </x:c>
      <x:c r="C123" t="str">
        <x:v>upgrade_m3_apo_bw</x:v>
      </x:c>
      <x:c r="D123" t="str">
        <x:f>IF(COUNTIFS('Upgrade'!$A$2:$A$1001,'ProgressionEdge'!D18)=1,"OK","ERROR")</x:f>
        <x:v>OK</x:v>
      </x:c>
    </x:row>
    <x:row r="124" ht="28" customHeight="1">
      <x:c r="A124" t="str">
        <x:v>ProgressionEdge</x:v>
      </x:c>
      <x:c r="B124" t="str">
        <x:v>to_upgrade_id @ 19</x:v>
      </x:c>
      <x:c r="C124" t="str">
        <x:v>upgrade_m3_apo_st</x:v>
      </x:c>
      <x:c r="D124" t="str">
        <x:f>IF(COUNTIFS('Upgrade'!$A$2:$A$1001,'ProgressionEdge'!D19)=1,"OK","ERROR")</x:f>
        <x:v>OK</x:v>
      </x:c>
    </x:row>
    <x:row r="125" ht="28" customHeight="1">
      <x:c r="A125" t="str">
        <x:v>ProgressionEdge</x:v>
      </x:c>
      <x:c r="B125" t="str">
        <x:v>to_upgrade_id @ 20</x:v>
      </x:c>
      <x:c r="C125" t="str">
        <x:v>upgrade_m3_are_sp</x:v>
      </x:c>
      <x:c r="D125" t="str">
        <x:f>IF(COUNTIFS('Upgrade'!$A$2:$A$1001,'ProgressionEdge'!D20)=1,"OK","ERROR")</x:f>
        <x:v>OK</x:v>
      </x:c>
    </x:row>
    <x:row r="126" ht="28" customHeight="1">
      <x:c r="A126" t="str">
        <x:v>ProgressionEdge</x:v>
      </x:c>
      <x:c r="B126" t="str">
        <x:v>to_upgrade_id @ 21</x:v>
      </x:c>
      <x:c r="C126" t="str">
        <x:v>upgrade_m3_are_gs</x:v>
      </x:c>
      <x:c r="D126" t="str">
        <x:f>IF(COUNTIFS('Upgrade'!$A$2:$A$1001,'ProgressionEdge'!D21)=1,"OK","ERROR")</x:f>
        <x:v>OK</x:v>
      </x:c>
    </x:row>
    <x:row r="127" ht="28" customHeight="1">
      <x:c r="A127" t="str">
        <x:v>ProgressionEdge</x:v>
      </x:c>
      <x:c r="B127" t="str">
        <x:v>to_upgrade_id @ 22</x:v>
      </x:c>
      <x:c r="C127" t="str">
        <x:v>upgrade_m3_are_ss</x:v>
      </x:c>
      <x:c r="D127" t="str">
        <x:f>IF(COUNTIFS('Upgrade'!$A$2:$A$1001,'ProgressionEdge'!D22)=1,"OK","ERROR")</x:f>
        <x:v>OK</x:v>
      </x:c>
    </x:row>
    <x:row r="128" ht="28" customHeight="1">
      <x:c r="A128" t="str">
        <x:v>ProgressionEdge</x:v>
      </x:c>
      <x:c r="B128" t="str">
        <x:v>to_upgrade_id @ 23</x:v>
      </x:c>
      <x:c r="C128" t="str">
        <x:v>upgrade_m3_had_gs</x:v>
      </x:c>
      <x:c r="D128" t="str">
        <x:f>IF(COUNTIFS('Upgrade'!$A$2:$A$1001,'ProgressionEdge'!D23)=1,"OK","ERROR")</x:f>
        <x:v>OK</x:v>
      </x:c>
    </x:row>
    <x:row r="129" ht="28" customHeight="1">
      <x:c r="A129" t="str">
        <x:v>ProgressionEdge</x:v>
      </x:c>
      <x:c r="B129" t="str">
        <x:v>to_upgrade_id @ 24</x:v>
      </x:c>
      <x:c r="C129" t="str">
        <x:v>upgrade_m3_had_dg</x:v>
      </x:c>
      <x:c r="D129" t="str">
        <x:f>IF(COUNTIFS('Upgrade'!$A$2:$A$1001,'ProgressionEdge'!D24)=1,"OK","ERROR")</x:f>
        <x:v>OK</x:v>
      </x:c>
    </x:row>
    <x:row r="130" ht="28" customHeight="1">
      <x:c r="A130" t="str">
        <x:v>ProgressionEdge</x:v>
      </x:c>
      <x:c r="B130" t="str">
        <x:v>to_upgrade_id @ 25</x:v>
      </x:c>
      <x:c r="C130" t="str">
        <x:v>upgrade_m3_art_sp</x:v>
      </x:c>
      <x:c r="D130" t="str">
        <x:f>IF(COUNTIFS('Upgrade'!$A$2:$A$1001,'ProgressionEdge'!D25)=1,"OK","ERROR")</x:f>
        <x:v>OK</x:v>
      </x:c>
    </x:row>
    <x:row r="131" ht="28" customHeight="1">
      <x:c r="A131" t="str">
        <x:v>ProgressionEdge</x:v>
      </x:c>
      <x:c r="B131" t="str">
        <x:v>to_upgrade_id @ 26</x:v>
      </x:c>
      <x:c r="C131" t="str">
        <x:v>upgrade_m3_art_dg</x:v>
      </x:c>
      <x:c r="D131" t="str">
        <x:f>IF(COUNTIFS('Upgrade'!$A$2:$A$1001,'ProgressionEdge'!D26)=1,"OK","ERROR")</x:f>
        <x:v>OK</x:v>
      </x:c>
    </x:row>
    <x:row r="132" ht="28" customHeight="1">
      <x:c r="A132" t="str">
        <x:v>ProgressionEdge</x:v>
      </x:c>
      <x:c r="B132" t="str">
        <x:v>to_upgrade_id @ 27</x:v>
      </x:c>
      <x:c r="C132" t="str">
        <x:v>upgrade_m3_art_bw</x:v>
      </x:c>
      <x:c r="D132" t="str">
        <x:f>IF(COUNTIFS('Upgrade'!$A$2:$A$1001,'ProgressionEdge'!D27)=1,"OK","ERROR")</x:f>
        <x:v>OK</x:v>
      </x:c>
    </x:row>
    <x:row r="133" ht="28" customHeight="1">
      <x:c r="A133" t="str">
        <x:v>ProgressionEdge</x:v>
      </x:c>
      <x:c r="B133" t="str">
        <x:v>to_upgrade_id @ 28</x:v>
      </x:c>
      <x:c r="C133" t="str">
        <x:v>upgrade_m3_ska_bw</x:v>
      </x:c>
      <x:c r="D133" t="str">
        <x:f>IF(COUNTIFS('Upgrade'!$A$2:$A$1001,'ProgressionEdge'!D28)=1,"OK","ERROR")</x:f>
        <x:v>OK</x:v>
      </x:c>
    </x:row>
    <x:row r="134" ht="28" customHeight="1">
      <x:c r="A134" t="str">
        <x:v>ProgressionEdge</x:v>
      </x:c>
      <x:c r="B134" t="str">
        <x:v>to_upgrade_id @ 29</x:v>
      </x:c>
      <x:c r="C134" t="str">
        <x:v>upgrade_m3_ska_st</x:v>
      </x:c>
      <x:c r="D134" t="str">
        <x:f>IF(COUNTIFS('Upgrade'!$A$2:$A$1001,'ProgressionEdge'!D29)=1,"OK","ERROR")</x:f>
        <x:v>OK</x:v>
      </x:c>
    </x:row>
    <x:row r="135" ht="28" customHeight="1">
      <x:c r="A135" t="str">
        <x:v>UpgradeEffect</x:v>
      </x:c>
      <x:c r="B135" t="str">
        <x:v>upgrade_id @ 2</x:v>
      </x:c>
      <x:c r="C135" t="str">
        <x:v>upgrade_m2_sp_line</x:v>
      </x:c>
      <x:c r="D135" t="str">
        <x:f>IF(COUNTIFS('Upgrade'!$A$2:$A$1001,'UpgradeEffect'!A2)=1,"OK","ERROR")</x:f>
        <x:v>OK</x:v>
      </x:c>
    </x:row>
    <x:row r="136" ht="28" customHeight="1">
      <x:c r="A136" t="str">
        <x:v>UpgradeEffect</x:v>
      </x:c>
      <x:c r="B136" t="str">
        <x:v>upgrade_id @ 3</x:v>
      </x:c>
      <x:c r="C136" t="str">
        <x:v>upgrade_m2_sp_pursuit</x:v>
      </x:c>
      <x:c r="D136" t="str">
        <x:f>IF(COUNTIFS('Upgrade'!$A$2:$A$1001,'UpgradeEffect'!A3)=1,"OK","ERROR")</x:f>
        <x:v>OK</x:v>
      </x:c>
    </x:row>
    <x:row r="137" ht="28" customHeight="1">
      <x:c r="A137" t="str">
        <x:v>UpgradeEffect</x:v>
      </x:c>
      <x:c r="B137" t="str">
        <x:v>upgrade_id @ 4</x:v>
      </x:c>
      <x:c r="C137" t="str">
        <x:v>upgrade_m2_hm_return</x:v>
      </x:c>
      <x:c r="D137" t="str">
        <x:f>IF(COUNTIFS('Upgrade'!$A$2:$A$1001,'UpgradeEffect'!A4)=1,"OK","ERROR")</x:f>
        <x:v>OK</x:v>
      </x:c>
    </x:row>
    <x:row r="138" ht="28" customHeight="1">
      <x:c r="A138" t="str">
        <x:v>UpgradeEffect</x:v>
      </x:c>
      <x:c r="B138" t="str">
        <x:v>upgrade_id @ 5</x:v>
      </x:c>
      <x:c r="C138" t="str">
        <x:v>upgrade_m2_hm_impact</x:v>
      </x:c>
      <x:c r="D138" t="str">
        <x:f>IF(COUNTIFS('Upgrade'!$A$2:$A$1001,'UpgradeEffect'!A5)=1,"OK","ERROR")</x:f>
        <x:v>OK</x:v>
      </x:c>
    </x:row>
    <x:row r="139" ht="28" customHeight="1">
      <x:c r="A139" t="str">
        <x:v>UpgradeEffect</x:v>
      </x:c>
      <x:c r="B139" t="str">
        <x:v>upgrade_id @ 6</x:v>
      </x:c>
      <x:c r="C139" t="str">
        <x:v>upgrade_m2_gs_seal</x:v>
      </x:c>
      <x:c r="D139" t="str">
        <x:f>IF(COUNTIFS('Upgrade'!$A$2:$A$1001,'UpgradeEffect'!A6)=1,"OK","ERROR")</x:f>
        <x:v>OK</x:v>
      </x:c>
    </x:row>
    <x:row r="140" ht="28" customHeight="1">
      <x:c r="A140" t="str">
        <x:v>UpgradeEffect</x:v>
      </x:c>
      <x:c r="B140" t="str">
        <x:v>upgrade_id @ 7</x:v>
      </x:c>
      <x:c r="C140" t="str">
        <x:v>upgrade_m2_dg_stalk</x:v>
      </x:c>
      <x:c r="D140" t="str">
        <x:f>IF(COUNTIFS('Upgrade'!$A$2:$A$1001,'UpgradeEffect'!A7)=1,"OK","ERROR")</x:f>
        <x:v>OK</x:v>
      </x:c>
    </x:row>
    <x:row r="141" ht="28" customHeight="1">
      <x:c r="A141" t="str">
        <x:v>UpgradeEffect</x:v>
      </x:c>
      <x:c r="B141" t="str">
        <x:v>upgrade_id @ 8</x:v>
      </x:c>
      <x:c r="C141" t="str">
        <x:v>upgrade_m2_ss_counter</x:v>
      </x:c>
      <x:c r="D141" t="str">
        <x:f>IF(COUNTIFS('Upgrade'!$A$2:$A$1001,'UpgradeEffect'!A8)=1,"OK","ERROR")</x:f>
        <x:v>OK</x:v>
      </x:c>
    </x:row>
    <x:row r="142" ht="28" customHeight="1">
      <x:c r="A142" t="str">
        <x:v>UpgradeEffect</x:v>
      </x:c>
      <x:c r="B142" t="str">
        <x:v>upgrade_id @ 9</x:v>
      </x:c>
      <x:c r="C142" t="str">
        <x:v>upgrade_m2_bw_aim</x:v>
      </x:c>
      <x:c r="D142" t="str">
        <x:f>IF(COUNTIFS('Upgrade'!$A$2:$A$1001,'UpgradeEffect'!A9)=1,"OK","ERROR")</x:f>
        <x:v>OK</x:v>
      </x:c>
    </x:row>
    <x:row r="143" ht="28" customHeight="1">
      <x:c r="A143" t="str">
        <x:v>UpgradeEffect</x:v>
      </x:c>
      <x:c r="B143" t="str">
        <x:v>upgrade_id @ 10</x:v>
      </x:c>
      <x:c r="C143" t="str">
        <x:v>upgrade_m2_bw_move</x:v>
      </x:c>
      <x:c r="D143" t="str">
        <x:f>IF(COUNTIFS('Upgrade'!$A$2:$A$1001,'UpgradeEffect'!A10)=1,"OK","ERROR")</x:f>
        <x:v>OK</x:v>
      </x:c>
    </x:row>
    <x:row r="144" ht="28" customHeight="1">
      <x:c r="A144" t="str">
        <x:v>UpgradeEffect</x:v>
      </x:c>
      <x:c r="B144" t="str">
        <x:v>upgrade_id @ 11</x:v>
      </x:c>
      <x:c r="C144" t="str">
        <x:v>upgrade_m2_st_cadence</x:v>
      </x:c>
      <x:c r="D144" t="str">
        <x:f>IF(COUNTIFS('Upgrade'!$A$2:$A$1001,'UpgradeEffect'!A11)=1,"OK","ERROR")</x:f>
        <x:v>OK</x:v>
      </x:c>
    </x:row>
    <x:row r="145" ht="28" customHeight="1">
      <x:c r="A145" t="str">
        <x:v>UpgradeEffect</x:v>
      </x:c>
      <x:c r="B145" t="str">
        <x:v>upgrade_id @ 12</x:v>
      </x:c>
      <x:c r="C145" t="str">
        <x:v>upgrade_m3_zeu_sp</x:v>
      </x:c>
      <x:c r="D145" t="str">
        <x:f>IF(COUNTIFS('Upgrade'!$A$2:$A$1001,'UpgradeEffect'!A12)=1,"OK","ERROR")</x:f>
        <x:v>OK</x:v>
      </x:c>
    </x:row>
    <x:row r="146" ht="28" customHeight="1">
      <x:c r="A146" t="str">
        <x:v>UpgradeEffect</x:v>
      </x:c>
      <x:c r="B146" t="str">
        <x:v>upgrade_id @ 13</x:v>
      </x:c>
      <x:c r="C146" t="str">
        <x:v>upgrade_m3_zeu_sp</x:v>
      </x:c>
      <x:c r="D146" t="str">
        <x:f>IF(COUNTIFS('Upgrade'!$A$2:$A$1001,'UpgradeEffect'!A13)=1,"OK","ERROR")</x:f>
        <x:v>OK</x:v>
      </x:c>
    </x:row>
    <x:row r="147" ht="28" customHeight="1">
      <x:c r="A147" t="str">
        <x:v>UpgradeEffect</x:v>
      </x:c>
      <x:c r="B147" t="str">
        <x:v>upgrade_id @ 14</x:v>
      </x:c>
      <x:c r="C147" t="str">
        <x:v>upgrade_m3_zeu_hm</x:v>
      </x:c>
      <x:c r="D147" t="str">
        <x:f>IF(COUNTIFS('Upgrade'!$A$2:$A$1001,'UpgradeEffect'!A14)=1,"OK","ERROR")</x:f>
        <x:v>OK</x:v>
      </x:c>
    </x:row>
    <x:row r="148" ht="28" customHeight="1">
      <x:c r="A148" t="str">
        <x:v>UpgradeEffect</x:v>
      </x:c>
      <x:c r="B148" t="str">
        <x:v>upgrade_id @ 15</x:v>
      </x:c>
      <x:c r="C148" t="str">
        <x:v>upgrade_m3_zeu_hm</x:v>
      </x:c>
      <x:c r="D148" t="str">
        <x:f>IF(COUNTIFS('Upgrade'!$A$2:$A$1001,'UpgradeEffect'!A15)=1,"OK","ERROR")</x:f>
        <x:v>OK</x:v>
      </x:c>
    </x:row>
    <x:row r="149" ht="28" customHeight="1">
      <x:c r="A149" t="str">
        <x:v>UpgradeEffect</x:v>
      </x:c>
      <x:c r="B149" t="str">
        <x:v>upgrade_id @ 16</x:v>
      </x:c>
      <x:c r="C149" t="str">
        <x:v>upgrade_m3_zeu_ss</x:v>
      </x:c>
      <x:c r="D149" t="str">
        <x:f>IF(COUNTIFS('Upgrade'!$A$2:$A$1001,'UpgradeEffect'!A16)=1,"OK","ERROR")</x:f>
        <x:v>OK</x:v>
      </x:c>
    </x:row>
    <x:row r="150" ht="28" customHeight="1">
      <x:c r="A150" t="str">
        <x:v>UpgradeEffect</x:v>
      </x:c>
      <x:c r="B150" t="str">
        <x:v>upgrade_id @ 17</x:v>
      </x:c>
      <x:c r="C150" t="str">
        <x:v>upgrade_m3_zeu_ss</x:v>
      </x:c>
      <x:c r="D150" t="str">
        <x:f>IF(COUNTIFS('Upgrade'!$A$2:$A$1001,'UpgradeEffect'!A17)=1,"OK","ERROR")</x:f>
        <x:v>OK</x:v>
      </x:c>
    </x:row>
    <x:row r="151" ht="28" customHeight="1">
      <x:c r="A151" t="str">
        <x:v>UpgradeEffect</x:v>
      </x:c>
      <x:c r="B151" t="str">
        <x:v>upgrade_id @ 18</x:v>
      </x:c>
      <x:c r="C151" t="str">
        <x:v>upgrade_m3_tho_hm_r</x:v>
      </x:c>
      <x:c r="D151" t="str">
        <x:f>IF(COUNTIFS('Upgrade'!$A$2:$A$1001,'UpgradeEffect'!A18)=1,"OK","ERROR")</x:f>
        <x:v>OK</x:v>
      </x:c>
    </x:row>
    <x:row r="152" ht="28" customHeight="1">
      <x:c r="A152" t="str">
        <x:v>UpgradeEffect</x:v>
      </x:c>
      <x:c r="B152" t="str">
        <x:v>upgrade_id @ 19</x:v>
      </x:c>
      <x:c r="C152" t="str">
        <x:v>upgrade_m3_tho_hm_r</x:v>
      </x:c>
      <x:c r="D152" t="str">
        <x:f>IF(COUNTIFS('Upgrade'!$A$2:$A$1001,'UpgradeEffect'!A19)=1,"OK","ERROR")</x:f>
        <x:v>OK</x:v>
      </x:c>
    </x:row>
    <x:row r="153" ht="28" customHeight="1">
      <x:c r="A153" t="str">
        <x:v>UpgradeEffect</x:v>
      </x:c>
      <x:c r="B153" t="str">
        <x:v>upgrade_id @ 20</x:v>
      </x:c>
      <x:c r="C153" t="str">
        <x:v>upgrade_m3_tho_hm_i</x:v>
      </x:c>
      <x:c r="D153" t="str">
        <x:f>IF(COUNTIFS('Upgrade'!$A$2:$A$1001,'UpgradeEffect'!A20)=1,"OK","ERROR")</x:f>
        <x:v>OK</x:v>
      </x:c>
    </x:row>
    <x:row r="154" ht="28" customHeight="1">
      <x:c r="A154" t="str">
        <x:v>UpgradeEffect</x:v>
      </x:c>
      <x:c r="B154" t="str">
        <x:v>upgrade_id @ 21</x:v>
      </x:c>
      <x:c r="C154" t="str">
        <x:v>upgrade_m3_tho_hm_i</x:v>
      </x:c>
      <x:c r="D154" t="str">
        <x:f>IF(COUNTIFS('Upgrade'!$A$2:$A$1001,'UpgradeEffect'!A21)=1,"OK","ERROR")</x:f>
        <x:v>OK</x:v>
      </x:c>
    </x:row>
    <x:row r="155" ht="28" customHeight="1">
      <x:c r="A155" t="str">
        <x:v>UpgradeEffect</x:v>
      </x:c>
      <x:c r="B155" t="str">
        <x:v>upgrade_id @ 22</x:v>
      </x:c>
      <x:c r="C155" t="str">
        <x:v>upgrade_m3_apo_sp</x:v>
      </x:c>
      <x:c r="D155" t="str">
        <x:f>IF(COUNTIFS('Upgrade'!$A$2:$A$1001,'UpgradeEffect'!A22)=1,"OK","ERROR")</x:f>
        <x:v>OK</x:v>
      </x:c>
    </x:row>
    <x:row r="156" ht="28" customHeight="1">
      <x:c r="A156" t="str">
        <x:v>UpgradeEffect</x:v>
      </x:c>
      <x:c r="B156" t="str">
        <x:v>upgrade_id @ 23</x:v>
      </x:c>
      <x:c r="C156" t="str">
        <x:v>upgrade_m3_apo_sp</x:v>
      </x:c>
      <x:c r="D156" t="str">
        <x:f>IF(COUNTIFS('Upgrade'!$A$2:$A$1001,'UpgradeEffect'!A23)=1,"OK","ERROR")</x:f>
        <x:v>OK</x:v>
      </x:c>
    </x:row>
    <x:row r="157" ht="28" customHeight="1">
      <x:c r="A157" t="str">
        <x:v>UpgradeEffect</x:v>
      </x:c>
      <x:c r="B157" t="str">
        <x:v>upgrade_id @ 24</x:v>
      </x:c>
      <x:c r="C157" t="str">
        <x:v>upgrade_m3_apo_bw</x:v>
      </x:c>
      <x:c r="D157" t="str">
        <x:f>IF(COUNTIFS('Upgrade'!$A$2:$A$1001,'UpgradeEffect'!A24)=1,"OK","ERROR")</x:f>
        <x:v>OK</x:v>
      </x:c>
    </x:row>
    <x:row r="158" ht="28" customHeight="1">
      <x:c r="A158" t="str">
        <x:v>UpgradeEffect</x:v>
      </x:c>
      <x:c r="B158" t="str">
        <x:v>upgrade_id @ 25</x:v>
      </x:c>
      <x:c r="C158" t="str">
        <x:v>upgrade_m3_apo_bw</x:v>
      </x:c>
      <x:c r="D158" t="str">
        <x:f>IF(COUNTIFS('Upgrade'!$A$2:$A$1001,'UpgradeEffect'!A25)=1,"OK","ERROR")</x:f>
        <x:v>OK</x:v>
      </x:c>
    </x:row>
    <x:row r="159" ht="28" customHeight="1">
      <x:c r="A159" t="str">
        <x:v>UpgradeEffect</x:v>
      </x:c>
      <x:c r="B159" t="str">
        <x:v>upgrade_id @ 26</x:v>
      </x:c>
      <x:c r="C159" t="str">
        <x:v>upgrade_m3_apo_st</x:v>
      </x:c>
      <x:c r="D159" t="str">
        <x:f>IF(COUNTIFS('Upgrade'!$A$2:$A$1001,'UpgradeEffect'!A26)=1,"OK","ERROR")</x:f>
        <x:v>OK</x:v>
      </x:c>
    </x:row>
    <x:row r="160" ht="28" customHeight="1">
      <x:c r="A160" t="str">
        <x:v>UpgradeEffect</x:v>
      </x:c>
      <x:c r="B160" t="str">
        <x:v>upgrade_id @ 27</x:v>
      </x:c>
      <x:c r="C160" t="str">
        <x:v>upgrade_m3_apo_st</x:v>
      </x:c>
      <x:c r="D160" t="str">
        <x:f>IF(COUNTIFS('Upgrade'!$A$2:$A$1001,'UpgradeEffect'!A27)=1,"OK","ERROR")</x:f>
        <x:v>OK</x:v>
      </x:c>
    </x:row>
    <x:row r="161" ht="28" customHeight="1">
      <x:c r="A161" t="str">
        <x:v>UpgradeEffect</x:v>
      </x:c>
      <x:c r="B161" t="str">
        <x:v>upgrade_id @ 28</x:v>
      </x:c>
      <x:c r="C161" t="str">
        <x:v>upgrade_m3_are_sp</x:v>
      </x:c>
      <x:c r="D161" t="str">
        <x:f>IF(COUNTIFS('Upgrade'!$A$2:$A$1001,'UpgradeEffect'!A28)=1,"OK","ERROR")</x:f>
        <x:v>OK</x:v>
      </x:c>
    </x:row>
    <x:row r="162" ht="28" customHeight="1">
      <x:c r="A162" t="str">
        <x:v>UpgradeEffect</x:v>
      </x:c>
      <x:c r="B162" t="str">
        <x:v>upgrade_id @ 29</x:v>
      </x:c>
      <x:c r="C162" t="str">
        <x:v>upgrade_m3_are_sp</x:v>
      </x:c>
      <x:c r="D162" t="str">
        <x:f>IF(COUNTIFS('Upgrade'!$A$2:$A$1001,'UpgradeEffect'!A29)=1,"OK","ERROR")</x:f>
        <x:v>OK</x:v>
      </x:c>
    </x:row>
    <x:row r="163" ht="28" customHeight="1">
      <x:c r="A163" t="str">
        <x:v>UpgradeEffect</x:v>
      </x:c>
      <x:c r="B163" t="str">
        <x:v>upgrade_id @ 30</x:v>
      </x:c>
      <x:c r="C163" t="str">
        <x:v>upgrade_m3_are_gs</x:v>
      </x:c>
      <x:c r="D163" t="str">
        <x:f>IF(COUNTIFS('Upgrade'!$A$2:$A$1001,'UpgradeEffect'!A30)=1,"OK","ERROR")</x:f>
        <x:v>OK</x:v>
      </x:c>
    </x:row>
    <x:row r="164" ht="28" customHeight="1">
      <x:c r="A164" t="str">
        <x:v>UpgradeEffect</x:v>
      </x:c>
      <x:c r="B164" t="str">
        <x:v>upgrade_id @ 31</x:v>
      </x:c>
      <x:c r="C164" t="str">
        <x:v>upgrade_m3_are_gs</x:v>
      </x:c>
      <x:c r="D164" t="str">
        <x:f>IF(COUNTIFS('Upgrade'!$A$2:$A$1001,'UpgradeEffect'!A31)=1,"OK","ERROR")</x:f>
        <x:v>OK</x:v>
      </x:c>
    </x:row>
    <x:row r="165" ht="28" customHeight="1">
      <x:c r="A165" t="str">
        <x:v>UpgradeEffect</x:v>
      </x:c>
      <x:c r="B165" t="str">
        <x:v>upgrade_id @ 32</x:v>
      </x:c>
      <x:c r="C165" t="str">
        <x:v>upgrade_m3_are_ss</x:v>
      </x:c>
      <x:c r="D165" t="str">
        <x:f>IF(COUNTIFS('Upgrade'!$A$2:$A$1001,'UpgradeEffect'!A32)=1,"OK","ERROR")</x:f>
        <x:v>OK</x:v>
      </x:c>
    </x:row>
    <x:row r="166" ht="28" customHeight="1">
      <x:c r="A166" t="str">
        <x:v>UpgradeEffect</x:v>
      </x:c>
      <x:c r="B166" t="str">
        <x:v>upgrade_id @ 33</x:v>
      </x:c>
      <x:c r="C166" t="str">
        <x:v>upgrade_m3_are_ss</x:v>
      </x:c>
      <x:c r="D166" t="str">
        <x:f>IF(COUNTIFS('Upgrade'!$A$2:$A$1001,'UpgradeEffect'!A33)=1,"OK","ERROR")</x:f>
        <x:v>OK</x:v>
      </x:c>
    </x:row>
    <x:row r="167" ht="28" customHeight="1">
      <x:c r="A167" t="str">
        <x:v>UpgradeEffect</x:v>
      </x:c>
      <x:c r="B167" t="str">
        <x:v>upgrade_id @ 34</x:v>
      </x:c>
      <x:c r="C167" t="str">
        <x:v>upgrade_m3_had_gs</x:v>
      </x:c>
      <x:c r="D167" t="str">
        <x:f>IF(COUNTIFS('Upgrade'!$A$2:$A$1001,'UpgradeEffect'!A34)=1,"OK","ERROR")</x:f>
        <x:v>OK</x:v>
      </x:c>
    </x:row>
    <x:row r="168" ht="28" customHeight="1">
      <x:c r="A168" t="str">
        <x:v>UpgradeEffect</x:v>
      </x:c>
      <x:c r="B168" t="str">
        <x:v>upgrade_id @ 35</x:v>
      </x:c>
      <x:c r="C168" t="str">
        <x:v>upgrade_m3_had_gs</x:v>
      </x:c>
      <x:c r="D168" t="str">
        <x:f>IF(COUNTIFS('Upgrade'!$A$2:$A$1001,'UpgradeEffect'!A35)=1,"OK","ERROR")</x:f>
        <x:v>OK</x:v>
      </x:c>
    </x:row>
    <x:row r="169" ht="28" customHeight="1">
      <x:c r="A169" t="str">
        <x:v>UpgradeEffect</x:v>
      </x:c>
      <x:c r="B169" t="str">
        <x:v>upgrade_id @ 36</x:v>
      </x:c>
      <x:c r="C169" t="str">
        <x:v>upgrade_m3_had_dg</x:v>
      </x:c>
      <x:c r="D169" t="str">
        <x:f>IF(COUNTIFS('Upgrade'!$A$2:$A$1001,'UpgradeEffect'!A36)=1,"OK","ERROR")</x:f>
        <x:v>OK</x:v>
      </x:c>
    </x:row>
    <x:row r="170" ht="28" customHeight="1">
      <x:c r="A170" t="str">
        <x:v>UpgradeEffect</x:v>
      </x:c>
      <x:c r="B170" t="str">
        <x:v>upgrade_id @ 37</x:v>
      </x:c>
      <x:c r="C170" t="str">
        <x:v>upgrade_m3_had_dg</x:v>
      </x:c>
      <x:c r="D170" t="str">
        <x:f>IF(COUNTIFS('Upgrade'!$A$2:$A$1001,'UpgradeEffect'!A37)=1,"OK","ERROR")</x:f>
        <x:v>OK</x:v>
      </x:c>
    </x:row>
    <x:row r="171" ht="28" customHeight="1">
      <x:c r="A171" t="str">
        <x:v>UpgradeEffect</x:v>
      </x:c>
      <x:c r="B171" t="str">
        <x:v>upgrade_id @ 38</x:v>
      </x:c>
      <x:c r="C171" t="str">
        <x:v>upgrade_m3_art_sp</x:v>
      </x:c>
      <x:c r="D171" t="str">
        <x:f>IF(COUNTIFS('Upgrade'!$A$2:$A$1001,'UpgradeEffect'!A38)=1,"OK","ERROR")</x:f>
        <x:v>OK</x:v>
      </x:c>
    </x:row>
    <x:row r="172" ht="28" customHeight="1">
      <x:c r="A172" t="str">
        <x:v>UpgradeEffect</x:v>
      </x:c>
      <x:c r="B172" t="str">
        <x:v>upgrade_id @ 39</x:v>
      </x:c>
      <x:c r="C172" t="str">
        <x:v>upgrade_m3_art_sp</x:v>
      </x:c>
      <x:c r="D172" t="str">
        <x:f>IF(COUNTIFS('Upgrade'!$A$2:$A$1001,'UpgradeEffect'!A39)=1,"OK","ERROR")</x:f>
        <x:v>OK</x:v>
      </x:c>
    </x:row>
    <x:row r="173" ht="28" customHeight="1">
      <x:c r="A173" t="str">
        <x:v>UpgradeEffect</x:v>
      </x:c>
      <x:c r="B173" t="str">
        <x:v>upgrade_id @ 40</x:v>
      </x:c>
      <x:c r="C173" t="str">
        <x:v>upgrade_m3_art_dg</x:v>
      </x:c>
      <x:c r="D173" t="str">
        <x:f>IF(COUNTIFS('Upgrade'!$A$2:$A$1001,'UpgradeEffect'!A40)=1,"OK","ERROR")</x:f>
        <x:v>OK</x:v>
      </x:c>
    </x:row>
    <x:row r="174" ht="28" customHeight="1">
      <x:c r="A174" t="str">
        <x:v>UpgradeEffect</x:v>
      </x:c>
      <x:c r="B174" t="str">
        <x:v>upgrade_id @ 41</x:v>
      </x:c>
      <x:c r="C174" t="str">
        <x:v>upgrade_m3_art_dg</x:v>
      </x:c>
      <x:c r="D174" t="str">
        <x:f>IF(COUNTIFS('Upgrade'!$A$2:$A$1001,'UpgradeEffect'!A41)=1,"OK","ERROR")</x:f>
        <x:v>OK</x:v>
      </x:c>
    </x:row>
    <x:row r="175" ht="28" customHeight="1">
      <x:c r="A175" t="str">
        <x:v>UpgradeEffect</x:v>
      </x:c>
      <x:c r="B175" t="str">
        <x:v>upgrade_id @ 42</x:v>
      </x:c>
      <x:c r="C175" t="str">
        <x:v>upgrade_m3_art_bw</x:v>
      </x:c>
      <x:c r="D175" t="str">
        <x:f>IF(COUNTIFS('Upgrade'!$A$2:$A$1001,'UpgradeEffect'!A42)=1,"OK","ERROR")</x:f>
        <x:v>OK</x:v>
      </x:c>
    </x:row>
    <x:row r="176" ht="28" customHeight="1">
      <x:c r="A176" t="str">
        <x:v>UpgradeEffect</x:v>
      </x:c>
      <x:c r="B176" t="str">
        <x:v>upgrade_id @ 43</x:v>
      </x:c>
      <x:c r="C176" t="str">
        <x:v>upgrade_m3_art_bw</x:v>
      </x:c>
      <x:c r="D176" t="str">
        <x:f>IF(COUNTIFS('Upgrade'!$A$2:$A$1001,'UpgradeEffect'!A43)=1,"OK","ERROR")</x:f>
        <x:v>OK</x:v>
      </x:c>
    </x:row>
    <x:row r="177" ht="28" customHeight="1">
      <x:c r="A177" t="str">
        <x:v>UpgradeEffect</x:v>
      </x:c>
      <x:c r="B177" t="str">
        <x:v>upgrade_id @ 44</x:v>
      </x:c>
      <x:c r="C177" t="str">
        <x:v>upgrade_m3_ska_bw</x:v>
      </x:c>
      <x:c r="D177" t="str">
        <x:f>IF(COUNTIFS('Upgrade'!$A$2:$A$1001,'UpgradeEffect'!A44)=1,"OK","ERROR")</x:f>
        <x:v>OK</x:v>
      </x:c>
    </x:row>
    <x:row r="178" ht="28" customHeight="1">
      <x:c r="A178" t="str">
        <x:v>UpgradeEffect</x:v>
      </x:c>
      <x:c r="B178" t="str">
        <x:v>upgrade_id @ 45</x:v>
      </x:c>
      <x:c r="C178" t="str">
        <x:v>upgrade_m3_ska_bw</x:v>
      </x:c>
      <x:c r="D178" t="str">
        <x:f>IF(COUNTIFS('Upgrade'!$A$2:$A$1001,'UpgradeEffect'!A45)=1,"OK","ERROR")</x:f>
        <x:v>OK</x:v>
      </x:c>
    </x:row>
    <x:row r="179" ht="28" customHeight="1">
      <x:c r="A179" t="str">
        <x:v>UpgradeEffect</x:v>
      </x:c>
      <x:c r="B179" t="str">
        <x:v>upgrade_id @ 46</x:v>
      </x:c>
      <x:c r="C179" t="str">
        <x:v>upgrade_m3_ska_st</x:v>
      </x:c>
      <x:c r="D179" t="str">
        <x:f>IF(COUNTIFS('Upgrade'!$A$2:$A$1001,'UpgradeEffect'!A46)=1,"OK","ERROR")</x:f>
        <x:v>OK</x:v>
      </x:c>
    </x:row>
    <x:row r="180" ht="28" customHeight="1">
      <x:c r="A180" t="str">
        <x:v>UpgradeEffect</x:v>
      </x:c>
      <x:c r="B180" t="str">
        <x:v>upgrade_id @ 47</x:v>
      </x:c>
      <x:c r="C180" t="str">
        <x:v>upgrade_m3_ska_st</x:v>
      </x:c>
      <x:c r="D180" t="str">
        <x:f>IF(COUNTIFS('Upgrade'!$A$2:$A$1001,'UpgradeEffect'!A47)=1,"OK","ERROR")</x:f>
        <x:v>OK</x:v>
      </x:c>
    </x:row>
    <x:row r="181" ht="28" customHeight="1">
      <x:c r="A181" t="str">
        <x:v>UpgradeEffect</x:v>
      </x:c>
      <x:c r="B181" t="str">
        <x:v>effect_id @ 2</x:v>
      </x:c>
      <x:c r="C181" t="str">
        <x:v>effect_m2_sp_line_base</x:v>
      </x:c>
      <x:c r="D181" t="str">
        <x:f>IF(COUNTIFS('Effect'!$A$2:$A$1001,'UpgradeEffect'!B2)=1,"OK","ERROR")</x:f>
        <x:v>OK</x:v>
      </x:c>
    </x:row>
    <x:row r="182" ht="28" customHeight="1">
      <x:c r="A182" t="str">
        <x:v>UpgradeEffect</x:v>
      </x:c>
      <x:c r="B182" t="str">
        <x:v>effect_id @ 3</x:v>
      </x:c>
      <x:c r="C182" t="str">
        <x:v>effect_m2_sp_pursuit_base</x:v>
      </x:c>
      <x:c r="D182" t="str">
        <x:f>IF(COUNTIFS('Effect'!$A$2:$A$1001,'UpgradeEffect'!B3)=1,"OK","ERROR")</x:f>
        <x:v>OK</x:v>
      </x:c>
    </x:row>
    <x:row r="183" ht="28" customHeight="1">
      <x:c r="A183" t="str">
        <x:v>UpgradeEffect</x:v>
      </x:c>
      <x:c r="B183" t="str">
        <x:v>effect_id @ 4</x:v>
      </x:c>
      <x:c r="C183" t="str">
        <x:v>effect_m2_hm_return_base</x:v>
      </x:c>
      <x:c r="D183" t="str">
        <x:f>IF(COUNTIFS('Effect'!$A$2:$A$1001,'UpgradeEffect'!B4)=1,"OK","ERROR")</x:f>
        <x:v>OK</x:v>
      </x:c>
    </x:row>
    <x:row r="184" ht="28" customHeight="1">
      <x:c r="A184" t="str">
        <x:v>UpgradeEffect</x:v>
      </x:c>
      <x:c r="B184" t="str">
        <x:v>effect_id @ 5</x:v>
      </x:c>
      <x:c r="C184" t="str">
        <x:v>effect_m2_hm_impact_base</x:v>
      </x:c>
      <x:c r="D184" t="str">
        <x:f>IF(COUNTIFS('Effect'!$A$2:$A$1001,'UpgradeEffect'!B5)=1,"OK","ERROR")</x:f>
        <x:v>OK</x:v>
      </x:c>
    </x:row>
    <x:row r="185" ht="28" customHeight="1">
      <x:c r="A185" t="str">
        <x:v>UpgradeEffect</x:v>
      </x:c>
      <x:c r="B185" t="str">
        <x:v>effect_id @ 6</x:v>
      </x:c>
      <x:c r="C185" t="str">
        <x:v>effect_m2_gs_seal_base</x:v>
      </x:c>
      <x:c r="D185" t="str">
        <x:f>IF(COUNTIFS('Effect'!$A$2:$A$1001,'UpgradeEffect'!B6)=1,"OK","ERROR")</x:f>
        <x:v>OK</x:v>
      </x:c>
    </x:row>
    <x:row r="186" ht="28" customHeight="1">
      <x:c r="A186" t="str">
        <x:v>UpgradeEffect</x:v>
      </x:c>
      <x:c r="B186" t="str">
        <x:v>effect_id @ 7</x:v>
      </x:c>
      <x:c r="C186" t="str">
        <x:v>effect_m2_dg_stalk_base</x:v>
      </x:c>
      <x:c r="D186" t="str">
        <x:f>IF(COUNTIFS('Effect'!$A$2:$A$1001,'UpgradeEffect'!B7)=1,"OK","ERROR")</x:f>
        <x:v>OK</x:v>
      </x:c>
    </x:row>
    <x:row r="187" ht="28" customHeight="1">
      <x:c r="A187" t="str">
        <x:v>UpgradeEffect</x:v>
      </x:c>
      <x:c r="B187" t="str">
        <x:v>effect_id @ 8</x:v>
      </x:c>
      <x:c r="C187" t="str">
        <x:v>effect_m2_ss_counter_base</x:v>
      </x:c>
      <x:c r="D187" t="str">
        <x:f>IF(COUNTIFS('Effect'!$A$2:$A$1001,'UpgradeEffect'!B8)=1,"OK","ERROR")</x:f>
        <x:v>OK</x:v>
      </x:c>
    </x:row>
    <x:row r="188" ht="28" customHeight="1">
      <x:c r="A188" t="str">
        <x:v>UpgradeEffect</x:v>
      </x:c>
      <x:c r="B188" t="str">
        <x:v>effect_id @ 9</x:v>
      </x:c>
      <x:c r="C188" t="str">
        <x:v>effect_m2_bw_aim_base</x:v>
      </x:c>
      <x:c r="D188" t="str">
        <x:f>IF(COUNTIFS('Effect'!$A$2:$A$1001,'UpgradeEffect'!B9)=1,"OK","ERROR")</x:f>
        <x:v>OK</x:v>
      </x:c>
    </x:row>
    <x:row r="189" ht="28" customHeight="1">
      <x:c r="A189" t="str">
        <x:v>UpgradeEffect</x:v>
      </x:c>
      <x:c r="B189" t="str">
        <x:v>effect_id @ 10</x:v>
      </x:c>
      <x:c r="C189" t="str">
        <x:v>effect_m2_bw_move_base</x:v>
      </x:c>
      <x:c r="D189" t="str">
        <x:f>IF(COUNTIFS('Effect'!$A$2:$A$1001,'UpgradeEffect'!B10)=1,"OK","ERROR")</x:f>
        <x:v>OK</x:v>
      </x:c>
    </x:row>
    <x:row r="190" ht="28" customHeight="1">
      <x:c r="A190" t="str">
        <x:v>UpgradeEffect</x:v>
      </x:c>
      <x:c r="B190" t="str">
        <x:v>effect_id @ 11</x:v>
      </x:c>
      <x:c r="C190" t="str">
        <x:v>effect_m2_st_cadence_base</x:v>
      </x:c>
      <x:c r="D190" t="str">
        <x:f>IF(COUNTIFS('Effect'!$A$2:$A$1001,'UpgradeEffect'!B11)=1,"OK","ERROR")</x:f>
        <x:v>OK</x:v>
      </x:c>
    </x:row>
    <x:row r="191" ht="28" customHeight="1">
      <x:c r="A191" t="str">
        <x:v>UpgradeEffect</x:v>
      </x:c>
      <x:c r="B191" t="str">
        <x:v>effect_id @ 12</x:v>
      </x:c>
      <x:c r="C191" t="str">
        <x:v>effect_m3_zeu_sp_base</x:v>
      </x:c>
      <x:c r="D191" t="str">
        <x:f>IF(COUNTIFS('Effect'!$A$2:$A$1001,'UpgradeEffect'!B12)=1,"OK","ERROR")</x:f>
        <x:v>OK</x:v>
      </x:c>
    </x:row>
    <x:row r="192" ht="28" customHeight="1">
      <x:c r="A192" t="str">
        <x:v>UpgradeEffect</x:v>
      </x:c>
      <x:c r="B192" t="str">
        <x:v>effect_id @ 13</x:v>
      </x:c>
      <x:c r="C192" t="str">
        <x:v>effect_m3_zeu_sp_resonance</x:v>
      </x:c>
      <x:c r="D192" t="str">
        <x:f>IF(COUNTIFS('Effect'!$A$2:$A$1001,'UpgradeEffect'!B13)=1,"OK","ERROR")</x:f>
        <x:v>OK</x:v>
      </x:c>
    </x:row>
    <x:row r="193" ht="28" customHeight="1">
      <x:c r="A193" t="str">
        <x:v>UpgradeEffect</x:v>
      </x:c>
      <x:c r="B193" t="str">
        <x:v>effect_id @ 14</x:v>
      </x:c>
      <x:c r="C193" t="str">
        <x:v>effect_m3_zeu_hm_base</x:v>
      </x:c>
      <x:c r="D193" t="str">
        <x:f>IF(COUNTIFS('Effect'!$A$2:$A$1001,'UpgradeEffect'!B14)=1,"OK","ERROR")</x:f>
        <x:v>OK</x:v>
      </x:c>
    </x:row>
    <x:row r="194" ht="28" customHeight="1">
      <x:c r="A194" t="str">
        <x:v>UpgradeEffect</x:v>
      </x:c>
      <x:c r="B194" t="str">
        <x:v>effect_id @ 15</x:v>
      </x:c>
      <x:c r="C194" t="str">
        <x:v>effect_m3_zeu_hm_resonance</x:v>
      </x:c>
      <x:c r="D194" t="str">
        <x:f>IF(COUNTIFS('Effect'!$A$2:$A$1001,'UpgradeEffect'!B15)=1,"OK","ERROR")</x:f>
        <x:v>OK</x:v>
      </x:c>
    </x:row>
    <x:row r="195" ht="28" customHeight="1">
      <x:c r="A195" t="str">
        <x:v>UpgradeEffect</x:v>
      </x:c>
      <x:c r="B195" t="str">
        <x:v>effect_id @ 16</x:v>
      </x:c>
      <x:c r="C195" t="str">
        <x:v>effect_m3_zeu_ss_base</x:v>
      </x:c>
      <x:c r="D195" t="str">
        <x:f>IF(COUNTIFS('Effect'!$A$2:$A$1001,'UpgradeEffect'!B16)=1,"OK","ERROR")</x:f>
        <x:v>OK</x:v>
      </x:c>
    </x:row>
    <x:row r="196" ht="28" customHeight="1">
      <x:c r="A196" t="str">
        <x:v>UpgradeEffect</x:v>
      </x:c>
      <x:c r="B196" t="str">
        <x:v>effect_id @ 17</x:v>
      </x:c>
      <x:c r="C196" t="str">
        <x:v>effect_m3_zeu_ss_resonance</x:v>
      </x:c>
      <x:c r="D196" t="str">
        <x:f>IF(COUNTIFS('Effect'!$A$2:$A$1001,'UpgradeEffect'!B17)=1,"OK","ERROR")</x:f>
        <x:v>OK</x:v>
      </x:c>
    </x:row>
    <x:row r="197" ht="28" customHeight="1">
      <x:c r="A197" t="str">
        <x:v>UpgradeEffect</x:v>
      </x:c>
      <x:c r="B197" t="str">
        <x:v>effect_id @ 18</x:v>
      </x:c>
      <x:c r="C197" t="str">
        <x:v>effect_m3_tho_hm_r_base</x:v>
      </x:c>
      <x:c r="D197" t="str">
        <x:f>IF(COUNTIFS('Effect'!$A$2:$A$1001,'UpgradeEffect'!B18)=1,"OK","ERROR")</x:f>
        <x:v>OK</x:v>
      </x:c>
    </x:row>
    <x:row r="198" ht="28" customHeight="1">
      <x:c r="A198" t="str">
        <x:v>UpgradeEffect</x:v>
      </x:c>
      <x:c r="B198" t="str">
        <x:v>effect_id @ 19</x:v>
      </x:c>
      <x:c r="C198" t="str">
        <x:v>effect_m3_tho_hm_r_resonance</x:v>
      </x:c>
      <x:c r="D198" t="str">
        <x:f>IF(COUNTIFS('Effect'!$A$2:$A$1001,'UpgradeEffect'!B19)=1,"OK","ERROR")</x:f>
        <x:v>OK</x:v>
      </x:c>
    </x:row>
    <x:row r="199" ht="28" customHeight="1">
      <x:c r="A199" t="str">
        <x:v>UpgradeEffect</x:v>
      </x:c>
      <x:c r="B199" t="str">
        <x:v>effect_id @ 20</x:v>
      </x:c>
      <x:c r="C199" t="str">
        <x:v>effect_m3_tho_hm_i_base</x:v>
      </x:c>
      <x:c r="D199" t="str">
        <x:f>IF(COUNTIFS('Effect'!$A$2:$A$1001,'UpgradeEffect'!B20)=1,"OK","ERROR")</x:f>
        <x:v>OK</x:v>
      </x:c>
    </x:row>
    <x:row r="200" ht="28" customHeight="1">
      <x:c r="A200" t="str">
        <x:v>UpgradeEffect</x:v>
      </x:c>
      <x:c r="B200" t="str">
        <x:v>effect_id @ 21</x:v>
      </x:c>
      <x:c r="C200" t="str">
        <x:v>effect_m3_tho_hm_i_resonance</x:v>
      </x:c>
      <x:c r="D200" t="str">
        <x:f>IF(COUNTIFS('Effect'!$A$2:$A$1001,'UpgradeEffect'!B21)=1,"OK","ERROR")</x:f>
        <x:v>OK</x:v>
      </x:c>
    </x:row>
    <x:row r="201" ht="28" customHeight="1">
      <x:c r="A201" t="str">
        <x:v>UpgradeEffect</x:v>
      </x:c>
      <x:c r="B201" t="str">
        <x:v>effect_id @ 22</x:v>
      </x:c>
      <x:c r="C201" t="str">
        <x:v>effect_m3_apo_sp_base</x:v>
      </x:c>
      <x:c r="D201" t="str">
        <x:f>IF(COUNTIFS('Effect'!$A$2:$A$1001,'UpgradeEffect'!B22)=1,"OK","ERROR")</x:f>
        <x:v>OK</x:v>
      </x:c>
    </x:row>
    <x:row r="202" ht="28" customHeight="1">
      <x:c r="A202" t="str">
        <x:v>UpgradeEffect</x:v>
      </x:c>
      <x:c r="B202" t="str">
        <x:v>effect_id @ 23</x:v>
      </x:c>
      <x:c r="C202" t="str">
        <x:v>effect_m3_apo_sp_resonance</x:v>
      </x:c>
      <x:c r="D202" t="str">
        <x:f>IF(COUNTIFS('Effect'!$A$2:$A$1001,'UpgradeEffect'!B23)=1,"OK","ERROR")</x:f>
        <x:v>OK</x:v>
      </x:c>
    </x:row>
    <x:row r="203" ht="28" customHeight="1">
      <x:c r="A203" t="str">
        <x:v>UpgradeEffect</x:v>
      </x:c>
      <x:c r="B203" t="str">
        <x:v>effect_id @ 24</x:v>
      </x:c>
      <x:c r="C203" t="str">
        <x:v>effect_m3_apo_bw_base</x:v>
      </x:c>
      <x:c r="D203" t="str">
        <x:f>IF(COUNTIFS('Effect'!$A$2:$A$1001,'UpgradeEffect'!B24)=1,"OK","ERROR")</x:f>
        <x:v>OK</x:v>
      </x:c>
    </x:row>
    <x:row r="204" ht="28" customHeight="1">
      <x:c r="A204" t="str">
        <x:v>UpgradeEffect</x:v>
      </x:c>
      <x:c r="B204" t="str">
        <x:v>effect_id @ 25</x:v>
      </x:c>
      <x:c r="C204" t="str">
        <x:v>effect_m3_apo_bw_resonance</x:v>
      </x:c>
      <x:c r="D204" t="str">
        <x:f>IF(COUNTIFS('Effect'!$A$2:$A$1001,'UpgradeEffect'!B25)=1,"OK","ERROR")</x:f>
        <x:v>OK</x:v>
      </x:c>
    </x:row>
    <x:row r="205" ht="28" customHeight="1">
      <x:c r="A205" t="str">
        <x:v>UpgradeEffect</x:v>
      </x:c>
      <x:c r="B205" t="str">
        <x:v>effect_id @ 26</x:v>
      </x:c>
      <x:c r="C205" t="str">
        <x:v>effect_m3_apo_st_base</x:v>
      </x:c>
      <x:c r="D205" t="str">
        <x:f>IF(COUNTIFS('Effect'!$A$2:$A$1001,'UpgradeEffect'!B26)=1,"OK","ERROR")</x:f>
        <x:v>OK</x:v>
      </x:c>
    </x:row>
    <x:row r="206" ht="28" customHeight="1">
      <x:c r="A206" t="str">
        <x:v>UpgradeEffect</x:v>
      </x:c>
      <x:c r="B206" t="str">
        <x:v>effect_id @ 27</x:v>
      </x:c>
      <x:c r="C206" t="str">
        <x:v>effect_m3_apo_st_resonance</x:v>
      </x:c>
      <x:c r="D206" t="str">
        <x:f>IF(COUNTIFS('Effect'!$A$2:$A$1001,'UpgradeEffect'!B27)=1,"OK","ERROR")</x:f>
        <x:v>OK</x:v>
      </x:c>
    </x:row>
    <x:row r="207" ht="28" customHeight="1">
      <x:c r="A207" t="str">
        <x:v>UpgradeEffect</x:v>
      </x:c>
      <x:c r="B207" t="str">
        <x:v>effect_id @ 28</x:v>
      </x:c>
      <x:c r="C207" t="str">
        <x:v>effect_m3_are_sp_base</x:v>
      </x:c>
      <x:c r="D207" t="str">
        <x:f>IF(COUNTIFS('Effect'!$A$2:$A$1001,'UpgradeEffect'!B28)=1,"OK","ERROR")</x:f>
        <x:v>OK</x:v>
      </x:c>
    </x:row>
    <x:row r="208" ht="28" customHeight="1">
      <x:c r="A208" t="str">
        <x:v>UpgradeEffect</x:v>
      </x:c>
      <x:c r="B208" t="str">
        <x:v>effect_id @ 29</x:v>
      </x:c>
      <x:c r="C208" t="str">
        <x:v>effect_m3_are_sp_resonance</x:v>
      </x:c>
      <x:c r="D208" t="str">
        <x:f>IF(COUNTIFS('Effect'!$A$2:$A$1001,'UpgradeEffect'!B29)=1,"OK","ERROR")</x:f>
        <x:v>OK</x:v>
      </x:c>
    </x:row>
    <x:row r="209" ht="28" customHeight="1">
      <x:c r="A209" t="str">
        <x:v>UpgradeEffect</x:v>
      </x:c>
      <x:c r="B209" t="str">
        <x:v>effect_id @ 30</x:v>
      </x:c>
      <x:c r="C209" t="str">
        <x:v>effect_m3_are_gs_base</x:v>
      </x:c>
      <x:c r="D209" t="str">
        <x:f>IF(COUNTIFS('Effect'!$A$2:$A$1001,'UpgradeEffect'!B30)=1,"OK","ERROR")</x:f>
        <x:v>OK</x:v>
      </x:c>
    </x:row>
    <x:row r="210" ht="28" customHeight="1">
      <x:c r="A210" t="str">
        <x:v>UpgradeEffect</x:v>
      </x:c>
      <x:c r="B210" t="str">
        <x:v>effect_id @ 31</x:v>
      </x:c>
      <x:c r="C210" t="str">
        <x:v>effect_m3_are_gs_resonance</x:v>
      </x:c>
      <x:c r="D210" t="str">
        <x:f>IF(COUNTIFS('Effect'!$A$2:$A$1001,'UpgradeEffect'!B31)=1,"OK","ERROR")</x:f>
        <x:v>OK</x:v>
      </x:c>
    </x:row>
    <x:row r="211" ht="28" customHeight="1">
      <x:c r="A211" t="str">
        <x:v>UpgradeEffect</x:v>
      </x:c>
      <x:c r="B211" t="str">
        <x:v>effect_id @ 32</x:v>
      </x:c>
      <x:c r="C211" t="str">
        <x:v>effect_m3_are_ss_base</x:v>
      </x:c>
      <x:c r="D211" t="str">
        <x:f>IF(COUNTIFS('Effect'!$A$2:$A$1001,'UpgradeEffect'!B32)=1,"OK","ERROR")</x:f>
        <x:v>OK</x:v>
      </x:c>
    </x:row>
    <x:row r="212" ht="28" customHeight="1">
      <x:c r="A212" t="str">
        <x:v>UpgradeEffect</x:v>
      </x:c>
      <x:c r="B212" t="str">
        <x:v>effect_id @ 33</x:v>
      </x:c>
      <x:c r="C212" t="str">
        <x:v>effect_m3_are_ss_resonance</x:v>
      </x:c>
      <x:c r="D212" t="str">
        <x:f>IF(COUNTIFS('Effect'!$A$2:$A$1001,'UpgradeEffect'!B33)=1,"OK","ERROR")</x:f>
        <x:v>OK</x:v>
      </x:c>
    </x:row>
    <x:row r="213" ht="28" customHeight="1">
      <x:c r="A213" t="str">
        <x:v>UpgradeEffect</x:v>
      </x:c>
      <x:c r="B213" t="str">
        <x:v>effect_id @ 34</x:v>
      </x:c>
      <x:c r="C213" t="str">
        <x:v>effect_m3_had_gs_base</x:v>
      </x:c>
      <x:c r="D213" t="str">
        <x:f>IF(COUNTIFS('Effect'!$A$2:$A$1001,'UpgradeEffect'!B34)=1,"OK","ERROR")</x:f>
        <x:v>OK</x:v>
      </x:c>
    </x:row>
    <x:row r="214" ht="28" customHeight="1">
      <x:c r="A214" t="str">
        <x:v>UpgradeEffect</x:v>
      </x:c>
      <x:c r="B214" t="str">
        <x:v>effect_id @ 35</x:v>
      </x:c>
      <x:c r="C214" t="str">
        <x:v>effect_m3_had_gs_resonance</x:v>
      </x:c>
      <x:c r="D214" t="str">
        <x:f>IF(COUNTIFS('Effect'!$A$2:$A$1001,'UpgradeEffect'!B35)=1,"OK","ERROR")</x:f>
        <x:v>OK</x:v>
      </x:c>
    </x:row>
    <x:row r="215" ht="28" customHeight="1">
      <x:c r="A215" t="str">
        <x:v>UpgradeEffect</x:v>
      </x:c>
      <x:c r="B215" t="str">
        <x:v>effect_id @ 36</x:v>
      </x:c>
      <x:c r="C215" t="str">
        <x:v>effect_m3_had_dg_base</x:v>
      </x:c>
      <x:c r="D215" t="str">
        <x:f>IF(COUNTIFS('Effect'!$A$2:$A$1001,'UpgradeEffect'!B36)=1,"OK","ERROR")</x:f>
        <x:v>OK</x:v>
      </x:c>
    </x:row>
    <x:row r="216" ht="28" customHeight="1">
      <x:c r="A216" t="str">
        <x:v>UpgradeEffect</x:v>
      </x:c>
      <x:c r="B216" t="str">
        <x:v>effect_id @ 37</x:v>
      </x:c>
      <x:c r="C216" t="str">
        <x:v>effect_m3_had_dg_resonance</x:v>
      </x:c>
      <x:c r="D216" t="str">
        <x:f>IF(COUNTIFS('Effect'!$A$2:$A$1001,'UpgradeEffect'!B37)=1,"OK","ERROR")</x:f>
        <x:v>OK</x:v>
      </x:c>
    </x:row>
    <x:row r="217" ht="28" customHeight="1">
      <x:c r="A217" t="str">
        <x:v>UpgradeEffect</x:v>
      </x:c>
      <x:c r="B217" t="str">
        <x:v>effect_id @ 38</x:v>
      </x:c>
      <x:c r="C217" t="str">
        <x:v>effect_m3_art_sp_base</x:v>
      </x:c>
      <x:c r="D217" t="str">
        <x:f>IF(COUNTIFS('Effect'!$A$2:$A$1001,'UpgradeEffect'!B38)=1,"OK","ERROR")</x:f>
        <x:v>OK</x:v>
      </x:c>
    </x:row>
    <x:row r="218" ht="28" customHeight="1">
      <x:c r="A218" t="str">
        <x:v>UpgradeEffect</x:v>
      </x:c>
      <x:c r="B218" t="str">
        <x:v>effect_id @ 39</x:v>
      </x:c>
      <x:c r="C218" t="str">
        <x:v>effect_m3_art_sp_resonance</x:v>
      </x:c>
      <x:c r="D218" t="str">
        <x:f>IF(COUNTIFS('Effect'!$A$2:$A$1001,'UpgradeEffect'!B39)=1,"OK","ERROR")</x:f>
        <x:v>OK</x:v>
      </x:c>
    </x:row>
    <x:row r="219" ht="28" customHeight="1">
      <x:c r="A219" t="str">
        <x:v>UpgradeEffect</x:v>
      </x:c>
      <x:c r="B219" t="str">
        <x:v>effect_id @ 40</x:v>
      </x:c>
      <x:c r="C219" t="str">
        <x:v>effect_m3_art_dg_base</x:v>
      </x:c>
      <x:c r="D219" t="str">
        <x:f>IF(COUNTIFS('Effect'!$A$2:$A$1001,'UpgradeEffect'!B40)=1,"OK","ERROR")</x:f>
        <x:v>OK</x:v>
      </x:c>
    </x:row>
    <x:row r="220" ht="28" customHeight="1">
      <x:c r="A220" t="str">
        <x:v>UpgradeEffect</x:v>
      </x:c>
      <x:c r="B220" t="str">
        <x:v>effect_id @ 41</x:v>
      </x:c>
      <x:c r="C220" t="str">
        <x:v>effect_m3_art_dg_resonance</x:v>
      </x:c>
      <x:c r="D220" t="str">
        <x:f>IF(COUNTIFS('Effect'!$A$2:$A$1001,'UpgradeEffect'!B41)=1,"OK","ERROR")</x:f>
        <x:v>OK</x:v>
      </x:c>
    </x:row>
    <x:row r="221" ht="28" customHeight="1">
      <x:c r="A221" t="str">
        <x:v>UpgradeEffect</x:v>
      </x:c>
      <x:c r="B221" t="str">
        <x:v>effect_id @ 42</x:v>
      </x:c>
      <x:c r="C221" t="str">
        <x:v>effect_m3_art_bw_base</x:v>
      </x:c>
      <x:c r="D221" t="str">
        <x:f>IF(COUNTIFS('Effect'!$A$2:$A$1001,'UpgradeEffect'!B42)=1,"OK","ERROR")</x:f>
        <x:v>OK</x:v>
      </x:c>
    </x:row>
    <x:row r="222" ht="28" customHeight="1">
      <x:c r="A222" t="str">
        <x:v>UpgradeEffect</x:v>
      </x:c>
      <x:c r="B222" t="str">
        <x:v>effect_id @ 43</x:v>
      </x:c>
      <x:c r="C222" t="str">
        <x:v>effect_m3_art_bw_resonance</x:v>
      </x:c>
      <x:c r="D222" t="str">
        <x:f>IF(COUNTIFS('Effect'!$A$2:$A$1001,'UpgradeEffect'!B43)=1,"OK","ERROR")</x:f>
        <x:v>OK</x:v>
      </x:c>
    </x:row>
    <x:row r="223" ht="28" customHeight="1">
      <x:c r="A223" t="str">
        <x:v>UpgradeEffect</x:v>
      </x:c>
      <x:c r="B223" t="str">
        <x:v>effect_id @ 44</x:v>
      </x:c>
      <x:c r="C223" t="str">
        <x:v>effect_m3_ska_bw_base</x:v>
      </x:c>
      <x:c r="D223" t="str">
        <x:f>IF(COUNTIFS('Effect'!$A$2:$A$1001,'UpgradeEffect'!B44)=1,"OK","ERROR")</x:f>
        <x:v>OK</x:v>
      </x:c>
    </x:row>
    <x:row r="224" ht="28" customHeight="1">
      <x:c r="A224" t="str">
        <x:v>UpgradeEffect</x:v>
      </x:c>
      <x:c r="B224" t="str">
        <x:v>effect_id @ 45</x:v>
      </x:c>
      <x:c r="C224" t="str">
        <x:v>effect_m3_ska_bw_resonance</x:v>
      </x:c>
      <x:c r="D224" t="str">
        <x:f>IF(COUNTIFS('Effect'!$A$2:$A$1001,'UpgradeEffect'!B45)=1,"OK","ERROR")</x:f>
        <x:v>OK</x:v>
      </x:c>
    </x:row>
    <x:row r="225" ht="28" customHeight="1">
      <x:c r="A225" t="str">
        <x:v>UpgradeEffect</x:v>
      </x:c>
      <x:c r="B225" t="str">
        <x:v>effect_id @ 46</x:v>
      </x:c>
      <x:c r="C225" t="str">
        <x:v>effect_m3_ska_st_base</x:v>
      </x:c>
      <x:c r="D225" t="str">
        <x:f>IF(COUNTIFS('Effect'!$A$2:$A$1001,'UpgradeEffect'!B46)=1,"OK","ERROR")</x:f>
        <x:v>OK</x:v>
      </x:c>
    </x:row>
    <x:row r="226" ht="28" customHeight="1">
      <x:c r="A226" t="str">
        <x:v>UpgradeEffect</x:v>
      </x:c>
      <x:c r="B226" t="str">
        <x:v>effect_id @ 47</x:v>
      </x:c>
      <x:c r="C226" t="str">
        <x:v>effect_m3_ska_st_resonance</x:v>
      </x:c>
      <x:c r="D226" t="str">
        <x:f>IF(COUNTIFS('Effect'!$A$2:$A$1001,'UpgradeEffect'!B47)=1,"OK","ERROR")</x:f>
        <x:v>OK</x:v>
      </x:c>
    </x:row>
    <x:row r="227" ht="28" customHeight="1">
      <x:c r="A227" t="str">
        <x:v>UpgradeEffect</x:v>
      </x:c>
      <x:c r="B227" t="str">
        <x:v>divinity_id @ 13</x:v>
      </x:c>
      <x:c r="C227" t="str">
        <x:v>divinity_zeus</x:v>
      </x:c>
      <x:c r="D227" t="str">
        <x:f>IF(COUNTIFS('Divinity'!$A$2:$A$1001,'UpgradeEffect'!E13)=1,"OK","ERROR")</x:f>
        <x:v>OK</x:v>
      </x:c>
    </x:row>
    <x:row r="228" ht="28" customHeight="1">
      <x:c r="A228" t="str">
        <x:v>UpgradeEffect</x:v>
      </x:c>
      <x:c r="B228" t="str">
        <x:v>divinity_id @ 15</x:v>
      </x:c>
      <x:c r="C228" t="str">
        <x:v>divinity_zeus</x:v>
      </x:c>
      <x:c r="D228" t="str">
        <x:f>IF(COUNTIFS('Divinity'!$A$2:$A$1001,'UpgradeEffect'!E15)=1,"OK","ERROR")</x:f>
        <x:v>OK</x:v>
      </x:c>
    </x:row>
    <x:row r="229" ht="28" customHeight="1">
      <x:c r="A229" t="str">
        <x:v>UpgradeEffect</x:v>
      </x:c>
      <x:c r="B229" t="str">
        <x:v>divinity_id @ 17</x:v>
      </x:c>
      <x:c r="C229" t="str">
        <x:v>divinity_zeus</x:v>
      </x:c>
      <x:c r="D229" t="str">
        <x:f>IF(COUNTIFS('Divinity'!$A$2:$A$1001,'UpgradeEffect'!E17)=1,"OK","ERROR")</x:f>
        <x:v>OK</x:v>
      </x:c>
    </x:row>
    <x:row r="230" ht="28" customHeight="1">
      <x:c r="A230" t="str">
        <x:v>UpgradeEffect</x:v>
      </x:c>
      <x:c r="B230" t="str">
        <x:v>divinity_id @ 19</x:v>
      </x:c>
      <x:c r="C230" t="str">
        <x:v>divinity_thor</x:v>
      </x:c>
      <x:c r="D230" t="str">
        <x:f>IF(COUNTIFS('Divinity'!$A$2:$A$1001,'UpgradeEffect'!E19)=1,"OK","ERROR")</x:f>
        <x:v>OK</x:v>
      </x:c>
    </x:row>
    <x:row r="231" ht="28" customHeight="1">
      <x:c r="A231" t="str">
        <x:v>UpgradeEffect</x:v>
      </x:c>
      <x:c r="B231" t="str">
        <x:v>divinity_id @ 21</x:v>
      </x:c>
      <x:c r="C231" t="str">
        <x:v>divinity_thor</x:v>
      </x:c>
      <x:c r="D231" t="str">
        <x:f>IF(COUNTIFS('Divinity'!$A$2:$A$1001,'UpgradeEffect'!E21)=1,"OK","ERROR")</x:f>
        <x:v>OK</x:v>
      </x:c>
    </x:row>
    <x:row r="232" ht="28" customHeight="1">
      <x:c r="A232" t="str">
        <x:v>UpgradeEffect</x:v>
      </x:c>
      <x:c r="B232" t="str">
        <x:v>divinity_id @ 23</x:v>
      </x:c>
      <x:c r="C232" t="str">
        <x:v>divinity_apollo</x:v>
      </x:c>
      <x:c r="D232" t="str">
        <x:f>IF(COUNTIFS('Divinity'!$A$2:$A$1001,'UpgradeEffect'!E23)=1,"OK","ERROR")</x:f>
        <x:v>OK</x:v>
      </x:c>
    </x:row>
    <x:row r="233" ht="28" customHeight="1">
      <x:c r="A233" t="str">
        <x:v>UpgradeEffect</x:v>
      </x:c>
      <x:c r="B233" t="str">
        <x:v>divinity_id @ 25</x:v>
      </x:c>
      <x:c r="C233" t="str">
        <x:v>divinity_apollo</x:v>
      </x:c>
      <x:c r="D233" t="str">
        <x:f>IF(COUNTIFS('Divinity'!$A$2:$A$1001,'UpgradeEffect'!E25)=1,"OK","ERROR")</x:f>
        <x:v>OK</x:v>
      </x:c>
    </x:row>
    <x:row r="234" ht="28" customHeight="1">
      <x:c r="A234" t="str">
        <x:v>UpgradeEffect</x:v>
      </x:c>
      <x:c r="B234" t="str">
        <x:v>divinity_id @ 27</x:v>
      </x:c>
      <x:c r="C234" t="str">
        <x:v>divinity_apollo</x:v>
      </x:c>
      <x:c r="D234" t="str">
        <x:f>IF(COUNTIFS('Divinity'!$A$2:$A$1001,'UpgradeEffect'!E27)=1,"OK","ERROR")</x:f>
        <x:v>OK</x:v>
      </x:c>
    </x:row>
    <x:row r="235" ht="28" customHeight="1">
      <x:c r="A235" t="str">
        <x:v>UpgradeEffect</x:v>
      </x:c>
      <x:c r="B235" t="str">
        <x:v>divinity_id @ 29</x:v>
      </x:c>
      <x:c r="C235" t="str">
        <x:v>divinity_ares</x:v>
      </x:c>
      <x:c r="D235" t="str">
        <x:f>IF(COUNTIFS('Divinity'!$A$2:$A$1001,'UpgradeEffect'!E29)=1,"OK","ERROR")</x:f>
        <x:v>OK</x:v>
      </x:c>
    </x:row>
    <x:row r="236" ht="28" customHeight="1">
      <x:c r="A236" t="str">
        <x:v>UpgradeEffect</x:v>
      </x:c>
      <x:c r="B236" t="str">
        <x:v>divinity_id @ 31</x:v>
      </x:c>
      <x:c r="C236" t="str">
        <x:v>divinity_ares</x:v>
      </x:c>
      <x:c r="D236" t="str">
        <x:f>IF(COUNTIFS('Divinity'!$A$2:$A$1001,'UpgradeEffect'!E31)=1,"OK","ERROR")</x:f>
        <x:v>OK</x:v>
      </x:c>
    </x:row>
    <x:row r="237" ht="28" customHeight="1">
      <x:c r="A237" t="str">
        <x:v>UpgradeEffect</x:v>
      </x:c>
      <x:c r="B237" t="str">
        <x:v>divinity_id @ 33</x:v>
      </x:c>
      <x:c r="C237" t="str">
        <x:v>divinity_ares</x:v>
      </x:c>
      <x:c r="D237" t="str">
        <x:f>IF(COUNTIFS('Divinity'!$A$2:$A$1001,'UpgradeEffect'!E33)=1,"OK","ERROR")</x:f>
        <x:v>OK</x:v>
      </x:c>
    </x:row>
    <x:row r="238" ht="28" customHeight="1">
      <x:c r="A238" t="str">
        <x:v>UpgradeEffect</x:v>
      </x:c>
      <x:c r="B238" t="str">
        <x:v>divinity_id @ 35</x:v>
      </x:c>
      <x:c r="C238" t="str">
        <x:v>divinity_hades</x:v>
      </x:c>
      <x:c r="D238" t="str">
        <x:f>IF(COUNTIFS('Divinity'!$A$2:$A$1001,'UpgradeEffect'!E35)=1,"OK","ERROR")</x:f>
        <x:v>OK</x:v>
      </x:c>
    </x:row>
    <x:row r="239" ht="28" customHeight="1">
      <x:c r="A239" t="str">
        <x:v>UpgradeEffect</x:v>
      </x:c>
      <x:c r="B239" t="str">
        <x:v>divinity_id @ 37</x:v>
      </x:c>
      <x:c r="C239" t="str">
        <x:v>divinity_hades</x:v>
      </x:c>
      <x:c r="D239" t="str">
        <x:f>IF(COUNTIFS('Divinity'!$A$2:$A$1001,'UpgradeEffect'!E37)=1,"OK","ERROR")</x:f>
        <x:v>OK</x:v>
      </x:c>
    </x:row>
    <x:row r="240" ht="28" customHeight="1">
      <x:c r="A240" t="str">
        <x:v>UpgradeEffect</x:v>
      </x:c>
      <x:c r="B240" t="str">
        <x:v>divinity_id @ 39</x:v>
      </x:c>
      <x:c r="C240" t="str">
        <x:v>divinity_artemis</x:v>
      </x:c>
      <x:c r="D240" t="str">
        <x:f>IF(COUNTIFS('Divinity'!$A$2:$A$1001,'UpgradeEffect'!E39)=1,"OK","ERROR")</x:f>
        <x:v>OK</x:v>
      </x:c>
    </x:row>
    <x:row r="241" ht="28" customHeight="1">
      <x:c r="A241" t="str">
        <x:v>UpgradeEffect</x:v>
      </x:c>
      <x:c r="B241" t="str">
        <x:v>divinity_id @ 41</x:v>
      </x:c>
      <x:c r="C241" t="str">
        <x:v>divinity_artemis</x:v>
      </x:c>
      <x:c r="D241" t="str">
        <x:f>IF(COUNTIFS('Divinity'!$A$2:$A$1001,'UpgradeEffect'!E41)=1,"OK","ERROR")</x:f>
        <x:v>OK</x:v>
      </x:c>
    </x:row>
    <x:row r="242" ht="28" customHeight="1">
      <x:c r="A242" t="str">
        <x:v>UpgradeEffect</x:v>
      </x:c>
      <x:c r="B242" t="str">
        <x:v>divinity_id @ 43</x:v>
      </x:c>
      <x:c r="C242" t="str">
        <x:v>divinity_artemis</x:v>
      </x:c>
      <x:c r="D242" t="str">
        <x:f>IF(COUNTIFS('Divinity'!$A$2:$A$1001,'UpgradeEffect'!E43)=1,"OK","ERROR")</x:f>
        <x:v>OK</x:v>
      </x:c>
    </x:row>
    <x:row r="243" ht="28" customHeight="1">
      <x:c r="A243" t="str">
        <x:v>UpgradeEffect</x:v>
      </x:c>
      <x:c r="B243" t="str">
        <x:v>divinity_id @ 45</x:v>
      </x:c>
      <x:c r="C243" t="str">
        <x:v>divinity_skadi</x:v>
      </x:c>
      <x:c r="D243" t="str">
        <x:f>IF(COUNTIFS('Divinity'!$A$2:$A$1001,'UpgradeEffect'!E45)=1,"OK","ERROR")</x:f>
        <x:v>OK</x:v>
      </x:c>
    </x:row>
    <x:row r="244" ht="28" customHeight="1">
      <x:c r="A244" t="str">
        <x:v>UpgradeEffect</x:v>
      </x:c>
      <x:c r="B244" t="str">
        <x:v>divinity_id @ 47</x:v>
      </x:c>
      <x:c r="C244" t="str">
        <x:v>divinity_skadi</x:v>
      </x:c>
      <x:c r="D244" t="str">
        <x:f>IF(COUNTIFS('Divinity'!$A$2:$A$1001,'UpgradeEffect'!E47)=1,"OK","ERROR")</x:f>
        <x:v>OK</x:v>
      </x:c>
    </x:row>
    <x:row r="245" ht="28" customHeight="1">
      <x:c r="A245" t="str">
        <x:v>NumericValue</x:v>
      </x:c>
      <x:c r="B245" t="str">
        <x:v>parameter_id @ 2</x:v>
      </x:c>
      <x:c r="C245" t="str">
        <x:v>duration_sec</x:v>
      </x:c>
      <x:c r="D245" t="str">
        <x:f>IF(COUNTIFS('ParameterDefinition'!$A$2:$A$1001,'NumericValue'!C2)=1,"OK","ERROR")</x:f>
        <x:v>OK</x:v>
      </x:c>
    </x:row>
    <x:row r="246" ht="28" customHeight="1">
      <x:c r="A246" t="str">
        <x:v>NumericValue</x:v>
      </x:c>
      <x:c r="B246" t="str">
        <x:v>parameter_id @ 3</x:v>
      </x:c>
      <x:c r="C246" t="str">
        <x:v>damage_coefficient_ratio</x:v>
      </x:c>
      <x:c r="D246" t="str">
        <x:f>IF(COUNTIFS('ParameterDefinition'!$A$2:$A$1001,'NumericValue'!C3)=1,"OK","ERROR")</x:f>
        <x:v>OK</x:v>
      </x:c>
    </x:row>
    <x:row r="247" ht="28" customHeight="1">
      <x:c r="A247" t="str">
        <x:v>NumericValue</x:v>
      </x:c>
      <x:c r="B247" t="str">
        <x:v>parameter_id @ 4</x:v>
      </x:c>
      <x:c r="C247" t="str">
        <x:v>cost_amount</x:v>
      </x:c>
      <x:c r="D247" t="str">
        <x:f>IF(COUNTIFS('ParameterDefinition'!$A$2:$A$1001,'NumericValue'!C4)=1,"OK","ERROR")</x:f>
        <x:v>OK</x:v>
      </x:c>
    </x:row>
    <x:row r="248" ht="28" customHeight="1">
      <x:c r="A248" t="str">
        <x:v>NumericValue</x:v>
      </x:c>
      <x:c r="B248" t="str">
        <x:v>parameter_id @ 5</x:v>
      </x:c>
      <x:c r="C248" t="str">
        <x:v>duration_sec</x:v>
      </x:c>
      <x:c r="D248" t="str">
        <x:f>IF(COUNTIFS('ParameterDefinition'!$A$2:$A$1001,'NumericValue'!C5)=1,"OK","ERROR")</x:f>
        <x:v>OK</x:v>
      </x:c>
    </x:row>
    <x:row r="249" ht="28" customHeight="1">
      <x:c r="A249" t="str">
        <x:v>NumericValue</x:v>
      </x:c>
      <x:c r="B249" t="str">
        <x:v>parameter_id @ 6</x:v>
      </x:c>
      <x:c r="C249" t="str">
        <x:v>damage_coefficient_ratio</x:v>
      </x:c>
      <x:c r="D249" t="str">
        <x:f>IF(COUNTIFS('ParameterDefinition'!$A$2:$A$1001,'NumericValue'!C6)=1,"OK","ERROR")</x:f>
        <x:v>OK</x:v>
      </x:c>
    </x:row>
    <x:row r="250" ht="28" customHeight="1">
      <x:c r="A250" t="str">
        <x:v>NumericValue</x:v>
      </x:c>
      <x:c r="B250" t="str">
        <x:v>parameter_id @ 7</x:v>
      </x:c>
      <x:c r="C250" t="str">
        <x:v>cost_amount</x:v>
      </x:c>
      <x:c r="D250" t="str">
        <x:f>IF(COUNTIFS('ParameterDefinition'!$A$2:$A$1001,'NumericValue'!C7)=1,"OK","ERROR")</x:f>
        <x:v>OK</x:v>
      </x:c>
    </x:row>
    <x:row r="251" ht="28" customHeight="1">
      <x:c r="A251" t="str">
        <x:v>NumericValue</x:v>
      </x:c>
      <x:c r="B251" t="str">
        <x:v>parameter_id @ 8</x:v>
      </x:c>
      <x:c r="C251" t="str">
        <x:v>range_units</x:v>
      </x:c>
      <x:c r="D251" t="str">
        <x:f>IF(COUNTIFS('ParameterDefinition'!$A$2:$A$1001,'NumericValue'!C8)=1,"OK","ERROR")</x:f>
        <x:v>OK</x:v>
      </x:c>
    </x:row>
    <x:row r="252" ht="28" customHeight="1">
      <x:c r="A252" t="str">
        <x:v>NumericValue</x:v>
      </x:c>
      <x:c r="B252" t="str">
        <x:v>parameter_id @ 9</x:v>
      </x:c>
      <x:c r="C252" t="str">
        <x:v>projectile_speed_units_per_sec</x:v>
      </x:c>
      <x:c r="D252" t="str">
        <x:f>IF(COUNTIFS('ParameterDefinition'!$A$2:$A$1001,'NumericValue'!C9)=1,"OK","ERROR")</x:f>
        <x:v>OK</x:v>
      </x:c>
    </x:row>
    <x:row r="253" ht="28" customHeight="1">
      <x:c r="A253" t="str">
        <x:v>NumericValue</x:v>
      </x:c>
      <x:c r="B253" t="str">
        <x:v>parameter_id @ 10</x:v>
      </x:c>
      <x:c r="C253" t="str">
        <x:v>return_timeout_sec</x:v>
      </x:c>
      <x:c r="D253" t="str">
        <x:f>IF(COUNTIFS('ParameterDefinition'!$A$2:$A$1001,'NumericValue'!C10)=1,"OK","ERROR")</x:f>
        <x:v>OK</x:v>
      </x:c>
    </x:row>
    <x:row r="254" ht="28" customHeight="1">
      <x:c r="A254" t="str">
        <x:v>NumericValue</x:v>
      </x:c>
      <x:c r="B254" t="str">
        <x:v>parameter_id @ 11</x:v>
      </x:c>
      <x:c r="C254" t="str">
        <x:v>max_hits_per_leg_count</x:v>
      </x:c>
      <x:c r="D254" t="str">
        <x:f>IF(COUNTIFS('ParameterDefinition'!$A$2:$A$1001,'NumericValue'!C11)=1,"OK","ERROR")</x:f>
        <x:v>OK</x:v>
      </x:c>
    </x:row>
    <x:row r="255" ht="28" customHeight="1">
      <x:c r="A255" t="str">
        <x:v>NumericValue</x:v>
      </x:c>
      <x:c r="B255" t="str">
        <x:v>parameter_id @ 12</x:v>
      </x:c>
      <x:c r="C255" t="str">
        <x:v>cost_amount</x:v>
      </x:c>
      <x:c r="D255" t="str">
        <x:f>IF(COUNTIFS('ParameterDefinition'!$A$2:$A$1001,'NumericValue'!C12)=1,"OK","ERROR")</x:f>
        <x:v>OK</x:v>
      </x:c>
    </x:row>
    <x:row r="256" ht="28" customHeight="1">
      <x:c r="A256" t="str">
        <x:v>NumericValue</x:v>
      </x:c>
      <x:c r="B256" t="str">
        <x:v>parameter_id @ 13</x:v>
      </x:c>
      <x:c r="C256" t="str">
        <x:v>duration_sec</x:v>
      </x:c>
      <x:c r="D256" t="str">
        <x:f>IF(COUNTIFS('ParameterDefinition'!$A$2:$A$1001,'NumericValue'!C13)=1,"OK","ERROR")</x:f>
        <x:v>OK</x:v>
      </x:c>
    </x:row>
    <x:row r="257" ht="28" customHeight="1">
      <x:c r="A257" t="str">
        <x:v>NumericValue</x:v>
      </x:c>
      <x:c r="B257" t="str">
        <x:v>parameter_id @ 14</x:v>
      </x:c>
      <x:c r="C257" t="str">
        <x:v>damage_coefficient_ratio</x:v>
      </x:c>
      <x:c r="D257" t="str">
        <x:f>IF(COUNTIFS('ParameterDefinition'!$A$2:$A$1001,'NumericValue'!C14)=1,"OK","ERROR")</x:f>
        <x:v>OK</x:v>
      </x:c>
    </x:row>
    <x:row r="258" ht="28" customHeight="1">
      <x:c r="A258" t="str">
        <x:v>NumericValue</x:v>
      </x:c>
      <x:c r="B258" t="str">
        <x:v>parameter_id @ 15</x:v>
      </x:c>
      <x:c r="C258" t="str">
        <x:v>cost_amount</x:v>
      </x:c>
      <x:c r="D258" t="str">
        <x:f>IF(COUNTIFS('ParameterDefinition'!$A$2:$A$1001,'NumericValue'!C15)=1,"OK","ERROR")</x:f>
        <x:v>OK</x:v>
      </x:c>
    </x:row>
    <x:row r="259" ht="28" customHeight="1">
      <x:c r="A259" t="str">
        <x:v>NumericValue</x:v>
      </x:c>
      <x:c r="B259" t="str">
        <x:v>parameter_id @ 16</x:v>
      </x:c>
      <x:c r="C259" t="str">
        <x:v>duration_sec</x:v>
      </x:c>
      <x:c r="D259" t="str">
        <x:f>IF(COUNTIFS('ParameterDefinition'!$A$2:$A$1001,'NumericValue'!C16)=1,"OK","ERROR")</x:f>
        <x:v>OK</x:v>
      </x:c>
    </x:row>
    <x:row r="260" ht="28" customHeight="1">
      <x:c r="A260" t="str">
        <x:v>NumericValue</x:v>
      </x:c>
      <x:c r="B260" t="str">
        <x:v>parameter_id @ 17</x:v>
      </x:c>
      <x:c r="C260" t="str">
        <x:v>damage_coefficient_ratio</x:v>
      </x:c>
      <x:c r="D260" t="str">
        <x:f>IF(COUNTIFS('ParameterDefinition'!$A$2:$A$1001,'NumericValue'!C17)=1,"OK","ERROR")</x:f>
        <x:v>OK</x:v>
      </x:c>
    </x:row>
    <x:row r="261" ht="28" customHeight="1">
      <x:c r="A261" t="str">
        <x:v>NumericValue</x:v>
      </x:c>
      <x:c r="B261" t="str">
        <x:v>parameter_id @ 18</x:v>
      </x:c>
      <x:c r="C261" t="str">
        <x:v>cost_amount</x:v>
      </x:c>
      <x:c r="D261" t="str">
        <x:f>IF(COUNTIFS('ParameterDefinition'!$A$2:$A$1001,'NumericValue'!C18)=1,"OK","ERROR")</x:f>
        <x:v>OK</x:v>
      </x:c>
    </x:row>
    <x:row r="262" ht="28" customHeight="1">
      <x:c r="A262" t="str">
        <x:v>NumericValue</x:v>
      </x:c>
      <x:c r="B262" t="str">
        <x:v>parameter_id @ 19</x:v>
      </x:c>
      <x:c r="C262" t="str">
        <x:v>move_distance_units</x:v>
      </x:c>
      <x:c r="D262" t="str">
        <x:f>IF(COUNTIFS('ParameterDefinition'!$A$2:$A$1001,'NumericValue'!C19)=1,"OK","ERROR")</x:f>
        <x:v>OK</x:v>
      </x:c>
    </x:row>
    <x:row r="263" ht="28" customHeight="1">
      <x:c r="A263" t="str">
        <x:v>NumericValue</x:v>
      </x:c>
      <x:c r="B263" t="str">
        <x:v>parameter_id @ 20</x:v>
      </x:c>
      <x:c r="C263" t="str">
        <x:v>duration_sec</x:v>
      </x:c>
      <x:c r="D263" t="str">
        <x:f>IF(COUNTIFS('ParameterDefinition'!$A$2:$A$1001,'NumericValue'!C20)=1,"OK","ERROR")</x:f>
        <x:v>OK</x:v>
      </x:c>
    </x:row>
    <x:row r="264" ht="28" customHeight="1">
      <x:c r="A264" t="str">
        <x:v>NumericValue</x:v>
      </x:c>
      <x:c r="B264" t="str">
        <x:v>parameter_id @ 21</x:v>
      </x:c>
      <x:c r="C264" t="str">
        <x:v>damage_coefficient_ratio</x:v>
      </x:c>
      <x:c r="D264" t="str">
        <x:f>IF(COUNTIFS('ParameterDefinition'!$A$2:$A$1001,'NumericValue'!C21)=1,"OK","ERROR")</x:f>
        <x:v>OK</x:v>
      </x:c>
    </x:row>
    <x:row r="265" ht="28" customHeight="1">
      <x:c r="A265" t="str">
        <x:v>NumericValue</x:v>
      </x:c>
      <x:c r="B265" t="str">
        <x:v>parameter_id @ 22</x:v>
      </x:c>
      <x:c r="C265" t="str">
        <x:v>cost_amount</x:v>
      </x:c>
      <x:c r="D265" t="str">
        <x:f>IF(COUNTIFS('ParameterDefinition'!$A$2:$A$1001,'NumericValue'!C22)=1,"OK","ERROR")</x:f>
        <x:v>OK</x:v>
      </x:c>
    </x:row>
    <x:row r="266" ht="28" customHeight="1">
      <x:c r="A266" t="str">
        <x:v>NumericValue</x:v>
      </x:c>
      <x:c r="B266" t="str">
        <x:v>parameter_id @ 23</x:v>
      </x:c>
      <x:c r="C266" t="str">
        <x:v>duration_sec</x:v>
      </x:c>
      <x:c r="D266" t="str">
        <x:f>IF(COUNTIFS('ParameterDefinition'!$A$2:$A$1001,'NumericValue'!C23)=1,"OK","ERROR")</x:f>
        <x:v>OK</x:v>
      </x:c>
    </x:row>
    <x:row r="267" ht="28" customHeight="1">
      <x:c r="A267" t="str">
        <x:v>NumericValue</x:v>
      </x:c>
      <x:c r="B267" t="str">
        <x:v>parameter_id @ 24</x:v>
      </x:c>
      <x:c r="C267" t="str">
        <x:v>damage_coefficient_ratio</x:v>
      </x:c>
      <x:c r="D267" t="str">
        <x:f>IF(COUNTIFS('ParameterDefinition'!$A$2:$A$1001,'NumericValue'!C24)=1,"OK","ERROR")</x:f>
        <x:v>OK</x:v>
      </x:c>
    </x:row>
    <x:row r="268" ht="28" customHeight="1">
      <x:c r="A268" t="str">
        <x:v>NumericValue</x:v>
      </x:c>
      <x:c r="B268" t="str">
        <x:v>parameter_id @ 25</x:v>
      </x:c>
      <x:c r="C268" t="str">
        <x:v>cost_amount</x:v>
      </x:c>
      <x:c r="D268" t="str">
        <x:f>IF(COUNTIFS('ParameterDefinition'!$A$2:$A$1001,'NumericValue'!C25)=1,"OK","ERROR")</x:f>
        <x:v>OK</x:v>
      </x:c>
    </x:row>
    <x:row r="269" ht="28" customHeight="1">
      <x:c r="A269" t="str">
        <x:v>NumericValue</x:v>
      </x:c>
      <x:c r="B269" t="str">
        <x:v>parameter_id @ 26</x:v>
      </x:c>
      <x:c r="C269" t="str">
        <x:v>duration_sec</x:v>
      </x:c>
      <x:c r="D269" t="str">
        <x:f>IF(COUNTIFS('ParameterDefinition'!$A$2:$A$1001,'NumericValue'!C26)=1,"OK","ERROR")</x:f>
        <x:v>OK</x:v>
      </x:c>
    </x:row>
    <x:row r="270" ht="28" customHeight="1">
      <x:c r="A270" t="str">
        <x:v>NumericValue</x:v>
      </x:c>
      <x:c r="B270" t="str">
        <x:v>parameter_id @ 27</x:v>
      </x:c>
      <x:c r="C270" t="str">
        <x:v>damage_coefficient_ratio</x:v>
      </x:c>
      <x:c r="D270" t="str">
        <x:f>IF(COUNTIFS('ParameterDefinition'!$A$2:$A$1001,'NumericValue'!C27)=1,"OK","ERROR")</x:f>
        <x:v>OK</x:v>
      </x:c>
    </x:row>
    <x:row r="271" ht="28" customHeight="1">
      <x:c r="A271" t="str">
        <x:v>NumericValue</x:v>
      </x:c>
      <x:c r="B271" t="str">
        <x:v>parameter_id @ 28</x:v>
      </x:c>
      <x:c r="C271" t="str">
        <x:v>cost_amount</x:v>
      </x:c>
      <x:c r="D271" t="str">
        <x:f>IF(COUNTIFS('ParameterDefinition'!$A$2:$A$1001,'NumericValue'!C28)=1,"OK","ERROR")</x:f>
        <x:v>OK</x:v>
      </x:c>
    </x:row>
    <x:row r="272" ht="28" customHeight="1">
      <x:c r="A272" t="str">
        <x:v>NumericValue</x:v>
      </x:c>
      <x:c r="B272" t="str">
        <x:v>parameter_id @ 29</x:v>
      </x:c>
      <x:c r="C272" t="str">
        <x:v>move_distance_units</x:v>
      </x:c>
      <x:c r="D272" t="str">
        <x:f>IF(COUNTIFS('ParameterDefinition'!$A$2:$A$1001,'NumericValue'!C29)=1,"OK","ERROR")</x:f>
        <x:v>OK</x:v>
      </x:c>
    </x:row>
    <x:row r="273" ht="28" customHeight="1">
      <x:c r="A273" t="str">
        <x:v>NumericValue</x:v>
      </x:c>
      <x:c r="B273" t="str">
        <x:v>parameter_id @ 30</x:v>
      </x:c>
      <x:c r="C273" t="str">
        <x:v>damage_coefficient_ratio</x:v>
      </x:c>
      <x:c r="D273" t="str">
        <x:f>IF(COUNTIFS('ParameterDefinition'!$A$2:$A$1001,'NumericValue'!C30)=1,"OK","ERROR")</x:f>
        <x:v>OK</x:v>
      </x:c>
    </x:row>
    <x:row r="274" ht="28" customHeight="1">
      <x:c r="A274" t="str">
        <x:v>NumericValue</x:v>
      </x:c>
      <x:c r="B274" t="str">
        <x:v>parameter_id @ 31</x:v>
      </x:c>
      <x:c r="C274" t="str">
        <x:v>cost_amount</x:v>
      </x:c>
      <x:c r="D274" t="str">
        <x:f>IF(COUNTIFS('ParameterDefinition'!$A$2:$A$1001,'NumericValue'!C31)=1,"OK","ERROR")</x:f>
        <x:v>OK</x:v>
      </x:c>
    </x:row>
    <x:row r="275" ht="28" customHeight="1">
      <x:c r="A275" t="str">
        <x:v>NumericValue</x:v>
      </x:c>
      <x:c r="B275" t="str">
        <x:v>parameter_id @ 32</x:v>
      </x:c>
      <x:c r="C275" t="str">
        <x:v>timing_window_sec</x:v>
      </x:c>
      <x:c r="D275" t="str">
        <x:f>IF(COUNTIFS('ParameterDefinition'!$A$2:$A$1001,'NumericValue'!C32)=1,"OK","ERROR")</x:f>
        <x:v>OK</x:v>
      </x:c>
    </x:row>
    <x:row r="276" ht="28" customHeight="1">
      <x:c r="A276" t="str">
        <x:v>NumericValue</x:v>
      </x:c>
      <x:c r="B276" t="str">
        <x:v>parameter_id @ 33</x:v>
      </x:c>
      <x:c r="C276" t="str">
        <x:v>damage_coefficient_ratio</x:v>
      </x:c>
      <x:c r="D276" t="str">
        <x:f>IF(COUNTIFS('ParameterDefinition'!$A$2:$A$1001,'NumericValue'!C33)=1,"OK","ERROR")</x:f>
        <x:v>OK</x:v>
      </x:c>
    </x:row>
    <x:row r="277" ht="28" customHeight="1">
      <x:c r="A277" t="str">
        <x:v>NumericValue</x:v>
      </x:c>
      <x:c r="B277" t="str">
        <x:v>parameter_id @ 34</x:v>
      </x:c>
      <x:c r="C277" t="str">
        <x:v>cost_amount</x:v>
      </x:c>
      <x:c r="D277" t="str">
        <x:f>IF(COUNTIFS('ParameterDefinition'!$A$2:$A$1001,'NumericValue'!C34)=1,"OK","ERROR")</x:f>
        <x:v>OK</x:v>
      </x:c>
    </x:row>
    <x:row r="278" ht="28" customHeight="1">
      <x:c r="A278" t="str">
        <x:v>NumericValue</x:v>
      </x:c>
      <x:c r="B278" t="str">
        <x:v>parameter_id @ 35</x:v>
      </x:c>
      <x:c r="C278" t="str">
        <x:v>duration_sec</x:v>
      </x:c>
      <x:c r="D278" t="str">
        <x:f>IF(COUNTIFS('ParameterDefinition'!$A$2:$A$1001,'NumericValue'!C35)=1,"OK","ERROR")</x:f>
        <x:v>OK</x:v>
      </x:c>
    </x:row>
    <x:row r="279" ht="28" customHeight="1">
      <x:c r="A279" t="str">
        <x:v>NumericValue</x:v>
      </x:c>
      <x:c r="B279" t="str">
        <x:v>parameter_id @ 36</x:v>
      </x:c>
      <x:c r="C279" t="str">
        <x:v>damage_coefficient_ratio</x:v>
      </x:c>
      <x:c r="D279" t="str">
        <x:f>IF(COUNTIFS('ParameterDefinition'!$A$2:$A$1001,'NumericValue'!C36)=1,"OK","ERROR")</x:f>
        <x:v>OK</x:v>
      </x:c>
    </x:row>
    <x:row r="280" ht="28" customHeight="1">
      <x:c r="A280" t="str">
        <x:v>NumericValue</x:v>
      </x:c>
      <x:c r="B280" t="str">
        <x:v>parameter_id @ 37</x:v>
      </x:c>
      <x:c r="C280" t="str">
        <x:v>delay_sec</x:v>
      </x:c>
      <x:c r="D280" t="str">
        <x:f>IF(COUNTIFS('ParameterDefinition'!$A$2:$A$1001,'NumericValue'!C37)=1,"OK","ERROR")</x:f>
        <x:v>OK</x:v>
      </x:c>
    </x:row>
    <x:row r="281" ht="28" customHeight="1">
      <x:c r="A281" t="str">
        <x:v>NumericValue</x:v>
      </x:c>
      <x:c r="B281" t="str">
        <x:v>parameter_id @ 38</x:v>
      </x:c>
      <x:c r="C281" t="str">
        <x:v>damage_coefficient_ratio</x:v>
      </x:c>
      <x:c r="D281" t="str">
        <x:f>IF(COUNTIFS('ParameterDefinition'!$A$2:$A$1001,'NumericValue'!C38)=1,"OK","ERROR")</x:f>
        <x:v>OK</x:v>
      </x:c>
    </x:row>
    <x:row r="282" ht="28" customHeight="1">
      <x:c r="A282" t="str">
        <x:v>NumericValue</x:v>
      </x:c>
      <x:c r="B282" t="str">
        <x:v>parameter_id @ 39</x:v>
      </x:c>
      <x:c r="C282" t="str">
        <x:v>max_target_count</x:v>
      </x:c>
      <x:c r="D282" t="str">
        <x:f>IF(COUNTIFS('ParameterDefinition'!$A$2:$A$1001,'NumericValue'!C39)=1,"OK","ERROR")</x:f>
        <x:v>OK</x:v>
      </x:c>
    </x:row>
    <x:row r="283" ht="28" customHeight="1">
      <x:c r="A283" t="str">
        <x:v>NumericValue</x:v>
      </x:c>
      <x:c r="B283" t="str">
        <x:v>parameter_id @ 40</x:v>
      </x:c>
      <x:c r="C283" t="str">
        <x:v>cost_amount</x:v>
      </x:c>
      <x:c r="D283" t="str">
        <x:f>IF(COUNTIFS('ParameterDefinition'!$A$2:$A$1001,'NumericValue'!C40)=1,"OK","ERROR")</x:f>
        <x:v>OK</x:v>
      </x:c>
    </x:row>
    <x:row r="284" ht="28" customHeight="1">
      <x:c r="A284" t="str">
        <x:v>NumericValue</x:v>
      </x:c>
      <x:c r="B284" t="str">
        <x:v>parameter_id @ 41</x:v>
      </x:c>
      <x:c r="C284" t="str">
        <x:v>duration_sec</x:v>
      </x:c>
      <x:c r="D284" t="str">
        <x:f>IF(COUNTIFS('ParameterDefinition'!$A$2:$A$1001,'NumericValue'!C41)=1,"OK","ERROR")</x:f>
        <x:v>OK</x:v>
      </x:c>
    </x:row>
    <x:row r="285" ht="28" customHeight="1">
      <x:c r="A285" t="str">
        <x:v>NumericValue</x:v>
      </x:c>
      <x:c r="B285" t="str">
        <x:v>parameter_id @ 42</x:v>
      </x:c>
      <x:c r="C285" t="str">
        <x:v>damage_coefficient_ratio</x:v>
      </x:c>
      <x:c r="D285" t="str">
        <x:f>IF(COUNTIFS('ParameterDefinition'!$A$2:$A$1001,'NumericValue'!C42)=1,"OK","ERROR")</x:f>
        <x:v>OK</x:v>
      </x:c>
    </x:row>
    <x:row r="286" ht="28" customHeight="1">
      <x:c r="A286" t="str">
        <x:v>NumericValue</x:v>
      </x:c>
      <x:c r="B286" t="str">
        <x:v>parameter_id @ 43</x:v>
      </x:c>
      <x:c r="C286" t="str">
        <x:v>delay_sec</x:v>
      </x:c>
      <x:c r="D286" t="str">
        <x:f>IF(COUNTIFS('ParameterDefinition'!$A$2:$A$1001,'NumericValue'!C43)=1,"OK","ERROR")</x:f>
        <x:v>OK</x:v>
      </x:c>
    </x:row>
    <x:row r="287" ht="28" customHeight="1">
      <x:c r="A287" t="str">
        <x:v>NumericValue</x:v>
      </x:c>
      <x:c r="B287" t="str">
        <x:v>parameter_id @ 44</x:v>
      </x:c>
      <x:c r="C287" t="str">
        <x:v>damage_coefficient_ratio</x:v>
      </x:c>
      <x:c r="D287" t="str">
        <x:f>IF(COUNTIFS('ParameterDefinition'!$A$2:$A$1001,'NumericValue'!C44)=1,"OK","ERROR")</x:f>
        <x:v>OK</x:v>
      </x:c>
    </x:row>
    <x:row r="288" ht="28" customHeight="1">
      <x:c r="A288" t="str">
        <x:v>NumericValue</x:v>
      </x:c>
      <x:c r="B288" t="str">
        <x:v>parameter_id @ 45</x:v>
      </x:c>
      <x:c r="C288" t="str">
        <x:v>cost_amount</x:v>
      </x:c>
      <x:c r="D288" t="str">
        <x:f>IF(COUNTIFS('ParameterDefinition'!$A$2:$A$1001,'NumericValue'!C45)=1,"OK","ERROR")</x:f>
        <x:v>OK</x:v>
      </x:c>
    </x:row>
    <x:row r="289" ht="28" customHeight="1">
      <x:c r="A289" t="str">
        <x:v>NumericValue</x:v>
      </x:c>
      <x:c r="B289" t="str">
        <x:v>parameter_id @ 46</x:v>
      </x:c>
      <x:c r="C289" t="str">
        <x:v>duration_sec</x:v>
      </x:c>
      <x:c r="D289" t="str">
        <x:f>IF(COUNTIFS('ParameterDefinition'!$A$2:$A$1001,'NumericValue'!C46)=1,"OK","ERROR")</x:f>
        <x:v>OK</x:v>
      </x:c>
    </x:row>
    <x:row r="290" ht="28" customHeight="1">
      <x:c r="A290" t="str">
        <x:v>NumericValue</x:v>
      </x:c>
      <x:c r="B290" t="str">
        <x:v>parameter_id @ 47</x:v>
      </x:c>
      <x:c r="C290" t="str">
        <x:v>damage_coefficient_ratio</x:v>
      </x:c>
      <x:c r="D290" t="str">
        <x:f>IF(COUNTIFS('ParameterDefinition'!$A$2:$A$1001,'NumericValue'!C47)=1,"OK","ERROR")</x:f>
        <x:v>OK</x:v>
      </x:c>
    </x:row>
    <x:row r="291" ht="28" customHeight="1">
      <x:c r="A291" t="str">
        <x:v>NumericValue</x:v>
      </x:c>
      <x:c r="B291" t="str">
        <x:v>parameter_id @ 48</x:v>
      </x:c>
      <x:c r="C291" t="str">
        <x:v>delay_sec</x:v>
      </x:c>
      <x:c r="D291" t="str">
        <x:f>IF(COUNTIFS('ParameterDefinition'!$A$2:$A$1001,'NumericValue'!C48)=1,"OK","ERROR")</x:f>
        <x:v>OK</x:v>
      </x:c>
    </x:row>
    <x:row r="292" ht="28" customHeight="1">
      <x:c r="A292" t="str">
        <x:v>NumericValue</x:v>
      </x:c>
      <x:c r="B292" t="str">
        <x:v>parameter_id @ 49</x:v>
      </x:c>
      <x:c r="C292" t="str">
        <x:v>damage_coefficient_ratio</x:v>
      </x:c>
      <x:c r="D292" t="str">
        <x:f>IF(COUNTIFS('ParameterDefinition'!$A$2:$A$1001,'NumericValue'!C49)=1,"OK","ERROR")</x:f>
        <x:v>OK</x:v>
      </x:c>
    </x:row>
    <x:row r="293" ht="28" customHeight="1">
      <x:c r="A293" t="str">
        <x:v>NumericValue</x:v>
      </x:c>
      <x:c r="B293" t="str">
        <x:v>parameter_id @ 50</x:v>
      </x:c>
      <x:c r="C293" t="str">
        <x:v>cost_amount</x:v>
      </x:c>
      <x:c r="D293" t="str">
        <x:f>IF(COUNTIFS('ParameterDefinition'!$A$2:$A$1001,'NumericValue'!C50)=1,"OK","ERROR")</x:f>
        <x:v>OK</x:v>
      </x:c>
    </x:row>
    <x:row r="294" ht="28" customHeight="1">
      <x:c r="A294" t="str">
        <x:v>NumericValue</x:v>
      </x:c>
      <x:c r="B294" t="str">
        <x:v>parameter_id @ 51</x:v>
      </x:c>
      <x:c r="C294" t="str">
        <x:v>range_units</x:v>
      </x:c>
      <x:c r="D294" t="str">
        <x:f>IF(COUNTIFS('ParameterDefinition'!$A$2:$A$1001,'NumericValue'!C51)=1,"OK","ERROR")</x:f>
        <x:v>OK</x:v>
      </x:c>
    </x:row>
    <x:row r="295" ht="28" customHeight="1">
      <x:c r="A295" t="str">
        <x:v>NumericValue</x:v>
      </x:c>
      <x:c r="B295" t="str">
        <x:v>parameter_id @ 52</x:v>
      </x:c>
      <x:c r="C295" t="str">
        <x:v>projectile_speed_units_per_sec</x:v>
      </x:c>
      <x:c r="D295" t="str">
        <x:f>IF(COUNTIFS('ParameterDefinition'!$A$2:$A$1001,'NumericValue'!C52)=1,"OK","ERROR")</x:f>
        <x:v>OK</x:v>
      </x:c>
    </x:row>
    <x:row r="296" ht="28" customHeight="1">
      <x:c r="A296" t="str">
        <x:v>NumericValue</x:v>
      </x:c>
      <x:c r="B296" t="str">
        <x:v>parameter_id @ 53</x:v>
      </x:c>
      <x:c r="C296" t="str">
        <x:v>return_timeout_sec</x:v>
      </x:c>
      <x:c r="D296" t="str">
        <x:f>IF(COUNTIFS('ParameterDefinition'!$A$2:$A$1001,'NumericValue'!C53)=1,"OK","ERROR")</x:f>
        <x:v>OK</x:v>
      </x:c>
    </x:row>
    <x:row r="297" ht="28" customHeight="1">
      <x:c r="A297" t="str">
        <x:v>NumericValue</x:v>
      </x:c>
      <x:c r="B297" t="str">
        <x:v>parameter_id @ 54</x:v>
      </x:c>
      <x:c r="C297" t="str">
        <x:v>max_hits_per_leg_count</x:v>
      </x:c>
      <x:c r="D297" t="str">
        <x:f>IF(COUNTIFS('ParameterDefinition'!$A$2:$A$1001,'NumericValue'!C54)=1,"OK","ERROR")</x:f>
        <x:v>OK</x:v>
      </x:c>
    </x:row>
    <x:row r="298" ht="28" customHeight="1">
      <x:c r="A298" t="str">
        <x:v>NumericValue</x:v>
      </x:c>
      <x:c r="B298" t="str">
        <x:v>parameter_id @ 55</x:v>
      </x:c>
      <x:c r="C298" t="str">
        <x:v>damage_coefficient_ratio</x:v>
      </x:c>
      <x:c r="D298" t="str">
        <x:f>IF(COUNTIFS('ParameterDefinition'!$A$2:$A$1001,'NumericValue'!C55)=1,"OK","ERROR")</x:f>
        <x:v>OK</x:v>
      </x:c>
    </x:row>
    <x:row r="299" ht="28" customHeight="1">
      <x:c r="A299" t="str">
        <x:v>NumericValue</x:v>
      </x:c>
      <x:c r="B299" t="str">
        <x:v>parameter_id @ 56</x:v>
      </x:c>
      <x:c r="C299" t="str">
        <x:v>radius_units</x:v>
      </x:c>
      <x:c r="D299" t="str">
        <x:f>IF(COUNTIFS('ParameterDefinition'!$A$2:$A$1001,'NumericValue'!C56)=1,"OK","ERROR")</x:f>
        <x:v>OK</x:v>
      </x:c>
    </x:row>
    <x:row r="300" ht="28" customHeight="1">
      <x:c r="A300" t="str">
        <x:v>NumericValue</x:v>
      </x:c>
      <x:c r="B300" t="str">
        <x:v>parameter_id @ 57</x:v>
      </x:c>
      <x:c r="C300" t="str">
        <x:v>duration_sec</x:v>
      </x:c>
      <x:c r="D300" t="str">
        <x:f>IF(COUNTIFS('ParameterDefinition'!$A$2:$A$1001,'NumericValue'!C57)=1,"OK","ERROR")</x:f>
        <x:v>OK</x:v>
      </x:c>
    </x:row>
    <x:row r="301" ht="28" customHeight="1">
      <x:c r="A301" t="str">
        <x:v>NumericValue</x:v>
      </x:c>
      <x:c r="B301" t="str">
        <x:v>parameter_id @ 58</x:v>
      </x:c>
      <x:c r="C301" t="str">
        <x:v>cost_amount</x:v>
      </x:c>
      <x:c r="D301" t="str">
        <x:f>IF(COUNTIFS('ParameterDefinition'!$A$2:$A$1001,'NumericValue'!C58)=1,"OK","ERROR")</x:f>
        <x:v>OK</x:v>
      </x:c>
    </x:row>
    <x:row r="302" ht="28" customHeight="1">
      <x:c r="A302" t="str">
        <x:v>NumericValue</x:v>
      </x:c>
      <x:c r="B302" t="str">
        <x:v>parameter_id @ 59</x:v>
      </x:c>
      <x:c r="C302" t="str">
        <x:v>duration_sec</x:v>
      </x:c>
      <x:c r="D302" t="str">
        <x:f>IF(COUNTIFS('ParameterDefinition'!$A$2:$A$1001,'NumericValue'!C59)=1,"OK","ERROR")</x:f>
        <x:v>OK</x:v>
      </x:c>
    </x:row>
    <x:row r="303" ht="28" customHeight="1">
      <x:c r="A303" t="str">
        <x:v>NumericValue</x:v>
      </x:c>
      <x:c r="B303" t="str">
        <x:v>parameter_id @ 60</x:v>
      </x:c>
      <x:c r="C303" t="str">
        <x:v>damage_coefficient_ratio</x:v>
      </x:c>
      <x:c r="D303" t="str">
        <x:f>IF(COUNTIFS('ParameterDefinition'!$A$2:$A$1001,'NumericValue'!C60)=1,"OK","ERROR")</x:f>
        <x:v>OK</x:v>
      </x:c>
    </x:row>
    <x:row r="304" ht="28" customHeight="1">
      <x:c r="A304" t="str">
        <x:v>NumericValue</x:v>
      </x:c>
      <x:c r="B304" t="str">
        <x:v>parameter_id @ 61</x:v>
      </x:c>
      <x:c r="C304" t="str">
        <x:v>damage_coefficient_ratio</x:v>
      </x:c>
      <x:c r="D304" t="str">
        <x:f>IF(COUNTIFS('ParameterDefinition'!$A$2:$A$1001,'NumericValue'!C61)=1,"OK","ERROR")</x:f>
        <x:v>OK</x:v>
      </x:c>
    </x:row>
    <x:row r="305" ht="28" customHeight="1">
      <x:c r="A305" t="str">
        <x:v>NumericValue</x:v>
      </x:c>
      <x:c r="B305" t="str">
        <x:v>parameter_id @ 62</x:v>
      </x:c>
      <x:c r="C305" t="str">
        <x:v>radius_units</x:v>
      </x:c>
      <x:c r="D305" t="str">
        <x:f>IF(COUNTIFS('ParameterDefinition'!$A$2:$A$1001,'NumericValue'!C62)=1,"OK","ERROR")</x:f>
        <x:v>OK</x:v>
      </x:c>
    </x:row>
    <x:row r="306" ht="28" customHeight="1">
      <x:c r="A306" t="str">
        <x:v>NumericValue</x:v>
      </x:c>
      <x:c r="B306" t="str">
        <x:v>parameter_id @ 63</x:v>
      </x:c>
      <x:c r="C306" t="str">
        <x:v>cost_amount</x:v>
      </x:c>
      <x:c r="D306" t="str">
        <x:f>IF(COUNTIFS('ParameterDefinition'!$A$2:$A$1001,'NumericValue'!C63)=1,"OK","ERROR")</x:f>
        <x:v>OK</x:v>
      </x:c>
    </x:row>
    <x:row r="307" ht="28" customHeight="1">
      <x:c r="A307" t="str">
        <x:v>NumericValue</x:v>
      </x:c>
      <x:c r="B307" t="str">
        <x:v>parameter_id @ 64</x:v>
      </x:c>
      <x:c r="C307" t="str">
        <x:v>duration_sec</x:v>
      </x:c>
      <x:c r="D307" t="str">
        <x:f>IF(COUNTIFS('ParameterDefinition'!$A$2:$A$1001,'NumericValue'!C64)=1,"OK","ERROR")</x:f>
        <x:v>OK</x:v>
      </x:c>
    </x:row>
    <x:row r="308" ht="28" customHeight="1">
      <x:c r="A308" t="str">
        <x:v>NumericValue</x:v>
      </x:c>
      <x:c r="B308" t="str">
        <x:v>parameter_id @ 65</x:v>
      </x:c>
      <x:c r="C308" t="str">
        <x:v>damage_coefficient_ratio</x:v>
      </x:c>
      <x:c r="D308" t="str">
        <x:f>IF(COUNTIFS('ParameterDefinition'!$A$2:$A$1001,'NumericValue'!C65)=1,"OK","ERROR")</x:f>
        <x:v>OK</x:v>
      </x:c>
    </x:row>
    <x:row r="309" ht="28" customHeight="1">
      <x:c r="A309" t="str">
        <x:v>NumericValue</x:v>
      </x:c>
      <x:c r="B309" t="str">
        <x:v>parameter_id @ 66</x:v>
      </x:c>
      <x:c r="C309" t="str">
        <x:v>damage_coefficient_ratio</x:v>
      </x:c>
      <x:c r="D309" t="str">
        <x:f>IF(COUNTIFS('ParameterDefinition'!$A$2:$A$1001,'NumericValue'!C66)=1,"OK","ERROR")</x:f>
        <x:v>OK</x:v>
      </x:c>
    </x:row>
    <x:row r="310" ht="28" customHeight="1">
      <x:c r="A310" t="str">
        <x:v>NumericValue</x:v>
      </x:c>
      <x:c r="B310" t="str">
        <x:v>parameter_id @ 67</x:v>
      </x:c>
      <x:c r="C310" t="str">
        <x:v>range_units</x:v>
      </x:c>
      <x:c r="D310" t="str">
        <x:f>IF(COUNTIFS('ParameterDefinition'!$A$2:$A$1001,'NumericValue'!C67)=1,"OK","ERROR")</x:f>
        <x:v>OK</x:v>
      </x:c>
    </x:row>
    <x:row r="311" ht="28" customHeight="1">
      <x:c r="A311" t="str">
        <x:v>NumericValue</x:v>
      </x:c>
      <x:c r="B311" t="str">
        <x:v>parameter_id @ 68</x:v>
      </x:c>
      <x:c r="C311" t="str">
        <x:v>duration_sec</x:v>
      </x:c>
      <x:c r="D311" t="str">
        <x:f>IF(COUNTIFS('ParameterDefinition'!$A$2:$A$1001,'NumericValue'!C68)=1,"OK","ERROR")</x:f>
        <x:v>OK</x:v>
      </x:c>
    </x:row>
    <x:row r="312" ht="28" customHeight="1">
      <x:c r="A312" t="str">
        <x:v>NumericValue</x:v>
      </x:c>
      <x:c r="B312" t="str">
        <x:v>parameter_id @ 69</x:v>
      </x:c>
      <x:c r="C312" t="str">
        <x:v>cost_amount</x:v>
      </x:c>
      <x:c r="D312" t="str">
        <x:f>IF(COUNTIFS('ParameterDefinition'!$A$2:$A$1001,'NumericValue'!C69)=1,"OK","ERROR")</x:f>
        <x:v>OK</x:v>
      </x:c>
    </x:row>
    <x:row r="313" ht="28" customHeight="1">
      <x:c r="A313" t="str">
        <x:v>NumericValue</x:v>
      </x:c>
      <x:c r="B313" t="str">
        <x:v>parameter_id @ 70</x:v>
      </x:c>
      <x:c r="C313" t="str">
        <x:v>duration_sec</x:v>
      </x:c>
      <x:c r="D313" t="str">
        <x:f>IF(COUNTIFS('ParameterDefinition'!$A$2:$A$1001,'NumericValue'!C70)=1,"OK","ERROR")</x:f>
        <x:v>OK</x:v>
      </x:c>
    </x:row>
    <x:row r="314" ht="28" customHeight="1">
      <x:c r="A314" t="str">
        <x:v>NumericValue</x:v>
      </x:c>
      <x:c r="B314" t="str">
        <x:v>parameter_id @ 71</x:v>
      </x:c>
      <x:c r="C314" t="str">
        <x:v>damage_coefficient_ratio</x:v>
      </x:c>
      <x:c r="D314" t="str">
        <x:f>IF(COUNTIFS('ParameterDefinition'!$A$2:$A$1001,'NumericValue'!C71)=1,"OK","ERROR")</x:f>
        <x:v>OK</x:v>
      </x:c>
    </x:row>
    <x:row r="315" ht="28" customHeight="1">
      <x:c r="A315" t="str">
        <x:v>NumericValue</x:v>
      </x:c>
      <x:c r="B315" t="str">
        <x:v>parameter_id @ 72</x:v>
      </x:c>
      <x:c r="C315" t="str">
        <x:v>damage_coefficient_ratio</x:v>
      </x:c>
      <x:c r="D315" t="str">
        <x:f>IF(COUNTIFS('ParameterDefinition'!$A$2:$A$1001,'NumericValue'!C72)=1,"OK","ERROR")</x:f>
        <x:v>OK</x:v>
      </x:c>
    </x:row>
    <x:row r="316" ht="28" customHeight="1">
      <x:c r="A316" t="str">
        <x:v>NumericValue</x:v>
      </x:c>
      <x:c r="B316" t="str">
        <x:v>parameter_id @ 73</x:v>
      </x:c>
      <x:c r="C316" t="str">
        <x:v>max_target_count</x:v>
      </x:c>
      <x:c r="D316" t="str">
        <x:f>IF(COUNTIFS('ParameterDefinition'!$A$2:$A$1001,'NumericValue'!C73)=1,"OK","ERROR")</x:f>
        <x:v>OK</x:v>
      </x:c>
    </x:row>
    <x:row r="317" ht="28" customHeight="1">
      <x:c r="A317" t="str">
        <x:v>NumericValue</x:v>
      </x:c>
      <x:c r="B317" t="str">
        <x:v>parameter_id @ 74</x:v>
      </x:c>
      <x:c r="C317" t="str">
        <x:v>cost_amount</x:v>
      </x:c>
      <x:c r="D317" t="str">
        <x:f>IF(COUNTIFS('ParameterDefinition'!$A$2:$A$1001,'NumericValue'!C74)=1,"OK","ERROR")</x:f>
        <x:v>OK</x:v>
      </x:c>
    </x:row>
    <x:row r="318" ht="28" customHeight="1">
      <x:c r="A318" t="str">
        <x:v>NumericValue</x:v>
      </x:c>
      <x:c r="B318" t="str">
        <x:v>parameter_id @ 75</x:v>
      </x:c>
      <x:c r="C318" t="str">
        <x:v>timing_window_sec</x:v>
      </x:c>
      <x:c r="D318" t="str">
        <x:f>IF(COUNTIFS('ParameterDefinition'!$A$2:$A$1001,'NumericValue'!C75)=1,"OK","ERROR")</x:f>
        <x:v>OK</x:v>
      </x:c>
    </x:row>
    <x:row r="319" ht="28" customHeight="1">
      <x:c r="A319" t="str">
        <x:v>NumericValue</x:v>
      </x:c>
      <x:c r="B319" t="str">
        <x:v>parameter_id @ 76</x:v>
      </x:c>
      <x:c r="C319" t="str">
        <x:v>damage_coefficient_ratio</x:v>
      </x:c>
      <x:c r="D319" t="str">
        <x:f>IF(COUNTIFS('ParameterDefinition'!$A$2:$A$1001,'NumericValue'!C76)=1,"OK","ERROR")</x:f>
        <x:v>OK</x:v>
      </x:c>
    </x:row>
    <x:row r="320" ht="28" customHeight="1">
      <x:c r="A320" t="str">
        <x:v>NumericValue</x:v>
      </x:c>
      <x:c r="B320" t="str">
        <x:v>parameter_id @ 77</x:v>
      </x:c>
      <x:c r="C320" t="str">
        <x:v>timing_window_sec</x:v>
      </x:c>
      <x:c r="D320" t="str">
        <x:f>IF(COUNTIFS('ParameterDefinition'!$A$2:$A$1001,'NumericValue'!C77)=1,"OK","ERROR")</x:f>
        <x:v>OK</x:v>
      </x:c>
    </x:row>
    <x:row r="321" ht="28" customHeight="1">
      <x:c r="A321" t="str">
        <x:v>NumericValue</x:v>
      </x:c>
      <x:c r="B321" t="str">
        <x:v>parameter_id @ 78</x:v>
      </x:c>
      <x:c r="C321" t="str">
        <x:v>damage_coefficient_ratio</x:v>
      </x:c>
      <x:c r="D321" t="str">
        <x:f>IF(COUNTIFS('ParameterDefinition'!$A$2:$A$1001,'NumericValue'!C78)=1,"OK","ERROR")</x:f>
        <x:v>OK</x:v>
      </x:c>
    </x:row>
    <x:row r="322" ht="28" customHeight="1">
      <x:c r="A322" t="str">
        <x:v>NumericValue</x:v>
      </x:c>
      <x:c r="B322" t="str">
        <x:v>parameter_id @ 79</x:v>
      </x:c>
      <x:c r="C322" t="str">
        <x:v>radius_units</x:v>
      </x:c>
      <x:c r="D322" t="str">
        <x:f>IF(COUNTIFS('ParameterDefinition'!$A$2:$A$1001,'NumericValue'!C79)=1,"OK","ERROR")</x:f>
        <x:v>OK</x:v>
      </x:c>
    </x:row>
    <x:row r="323" ht="28" customHeight="1">
      <x:c r="A323" t="str">
        <x:v>NumericValue</x:v>
      </x:c>
      <x:c r="B323" t="str">
        <x:v>parameter_id @ 80</x:v>
      </x:c>
      <x:c r="C323" t="str">
        <x:v>cost_amount</x:v>
      </x:c>
      <x:c r="D323" t="str">
        <x:f>IF(COUNTIFS('ParameterDefinition'!$A$2:$A$1001,'NumericValue'!C80)=1,"OK","ERROR")</x:f>
        <x:v>OK</x:v>
      </x:c>
    </x:row>
    <x:row r="324" ht="28" customHeight="1">
      <x:c r="A324" t="str">
        <x:v>NumericValue</x:v>
      </x:c>
      <x:c r="B324" t="str">
        <x:v>parameter_id @ 81</x:v>
      </x:c>
      <x:c r="C324" t="str">
        <x:v>duration_sec</x:v>
      </x:c>
      <x:c r="D324" t="str">
        <x:f>IF(COUNTIFS('ParameterDefinition'!$A$2:$A$1001,'NumericValue'!C81)=1,"OK","ERROR")</x:f>
        <x:v>OK</x:v>
      </x:c>
    </x:row>
    <x:row r="325" ht="28" customHeight="1">
      <x:c r="A325" t="str">
        <x:v>NumericValue</x:v>
      </x:c>
      <x:c r="B325" t="str">
        <x:v>parameter_id @ 82</x:v>
      </x:c>
      <x:c r="C325" t="str">
        <x:v>damage_coefficient_ratio</x:v>
      </x:c>
      <x:c r="D325" t="str">
        <x:f>IF(COUNTIFS('ParameterDefinition'!$A$2:$A$1001,'NumericValue'!C82)=1,"OK","ERROR")</x:f>
        <x:v>OK</x:v>
      </x:c>
    </x:row>
    <x:row r="326" ht="28" customHeight="1">
      <x:c r="A326" t="str">
        <x:v>NumericValue</x:v>
      </x:c>
      <x:c r="B326" t="str">
        <x:v>parameter_id @ 83</x:v>
      </x:c>
      <x:c r="C326" t="str">
        <x:v>max_stack_count</x:v>
      </x:c>
      <x:c r="D326" t="str">
        <x:f>IF(COUNTIFS('ParameterDefinition'!$A$2:$A$1001,'NumericValue'!C83)=1,"OK","ERROR")</x:f>
        <x:v>OK</x:v>
      </x:c>
    </x:row>
    <x:row r="327" ht="28" customHeight="1">
      <x:c r="A327" t="str">
        <x:v>NumericValue</x:v>
      </x:c>
      <x:c r="B327" t="str">
        <x:v>parameter_id @ 84</x:v>
      </x:c>
      <x:c r="C327" t="str">
        <x:v>duration_sec</x:v>
      </x:c>
      <x:c r="D327" t="str">
        <x:f>IF(COUNTIFS('ParameterDefinition'!$A$2:$A$1001,'NumericValue'!C84)=1,"OK","ERROR")</x:f>
        <x:v>OK</x:v>
      </x:c>
    </x:row>
    <x:row r="328" ht="28" customHeight="1">
      <x:c r="A328" t="str">
        <x:v>NumericValue</x:v>
      </x:c>
      <x:c r="B328" t="str">
        <x:v>parameter_id @ 85</x:v>
      </x:c>
      <x:c r="C328" t="str">
        <x:v>damage_coefficient_ratio</x:v>
      </x:c>
      <x:c r="D328" t="str">
        <x:f>IF(COUNTIFS('ParameterDefinition'!$A$2:$A$1001,'NumericValue'!C85)=1,"OK","ERROR")</x:f>
        <x:v>OK</x:v>
      </x:c>
    </x:row>
    <x:row r="329" ht="28" customHeight="1">
      <x:c r="A329" t="str">
        <x:v>NumericValue</x:v>
      </x:c>
      <x:c r="B329" t="str">
        <x:v>parameter_id @ 86</x:v>
      </x:c>
      <x:c r="C329" t="str">
        <x:v>cost_amount</x:v>
      </x:c>
      <x:c r="D329" t="str">
        <x:f>IF(COUNTIFS('ParameterDefinition'!$A$2:$A$1001,'NumericValue'!C86)=1,"OK","ERROR")</x:f>
        <x:v>OK</x:v>
      </x:c>
    </x:row>
    <x:row r="330" ht="28" customHeight="1">
      <x:c r="A330" t="str">
        <x:v>NumericValue</x:v>
      </x:c>
      <x:c r="B330" t="str">
        <x:v>parameter_id @ 87</x:v>
      </x:c>
      <x:c r="C330" t="str">
        <x:v>duration_sec</x:v>
      </x:c>
      <x:c r="D330" t="str">
        <x:f>IF(COUNTIFS('ParameterDefinition'!$A$2:$A$1001,'NumericValue'!C87)=1,"OK","ERROR")</x:f>
        <x:v>OK</x:v>
      </x:c>
    </x:row>
    <x:row r="331" ht="28" customHeight="1">
      <x:c r="A331" t="str">
        <x:v>NumericValue</x:v>
      </x:c>
      <x:c r="B331" t="str">
        <x:v>parameter_id @ 88</x:v>
      </x:c>
      <x:c r="C331" t="str">
        <x:v>damage_coefficient_ratio</x:v>
      </x:c>
      <x:c r="D331" t="str">
        <x:f>IF(COUNTIFS('ParameterDefinition'!$A$2:$A$1001,'NumericValue'!C88)=1,"OK","ERROR")</x:f>
        <x:v>OK</x:v>
      </x:c>
    </x:row>
    <x:row r="332" ht="28" customHeight="1">
      <x:c r="A332" t="str">
        <x:v>NumericValue</x:v>
      </x:c>
      <x:c r="B332" t="str">
        <x:v>parameter_id @ 89</x:v>
      </x:c>
      <x:c r="C332" t="str">
        <x:v>duration_sec</x:v>
      </x:c>
      <x:c r="D332" t="str">
        <x:f>IF(COUNTIFS('ParameterDefinition'!$A$2:$A$1001,'NumericValue'!C89)=1,"OK","ERROR")</x:f>
        <x:v>OK</x:v>
      </x:c>
    </x:row>
    <x:row r="333" ht="28" customHeight="1">
      <x:c r="A333" t="str">
        <x:v>NumericValue</x:v>
      </x:c>
      <x:c r="B333" t="str">
        <x:v>parameter_id @ 90</x:v>
      </x:c>
      <x:c r="C333" t="str">
        <x:v>radius_units</x:v>
      </x:c>
      <x:c r="D333" t="str">
        <x:f>IF(COUNTIFS('ParameterDefinition'!$A$2:$A$1001,'NumericValue'!C90)=1,"OK","ERROR")</x:f>
        <x:v>OK</x:v>
      </x:c>
    </x:row>
    <x:row r="334" ht="28" customHeight="1">
      <x:c r="A334" t="str">
        <x:v>NumericValue</x:v>
      </x:c>
      <x:c r="B334" t="str">
        <x:v>parameter_id @ 91</x:v>
      </x:c>
      <x:c r="C334" t="str">
        <x:v>cooldown_sec</x:v>
      </x:c>
      <x:c r="D334" t="str">
        <x:f>IF(COUNTIFS('ParameterDefinition'!$A$2:$A$1001,'NumericValue'!C91)=1,"OK","ERROR")</x:f>
        <x:v>OK</x:v>
      </x:c>
    </x:row>
    <x:row r="335" ht="28" customHeight="1">
      <x:c r="A335" t="str">
        <x:v>NumericValue</x:v>
      </x:c>
      <x:c r="B335" t="str">
        <x:v>parameter_id @ 92</x:v>
      </x:c>
      <x:c r="C335" t="str">
        <x:v>cost_amount</x:v>
      </x:c>
      <x:c r="D335" t="str">
        <x:f>IF(COUNTIFS('ParameterDefinition'!$A$2:$A$1001,'NumericValue'!C92)=1,"OK","ERROR")</x:f>
        <x:v>OK</x:v>
      </x:c>
    </x:row>
    <x:row r="336" ht="28" customHeight="1">
      <x:c r="A336" t="str">
        <x:v>NumericValue</x:v>
      </x:c>
      <x:c r="B336" t="str">
        <x:v>parameter_id @ 93</x:v>
      </x:c>
      <x:c r="C336" t="str">
        <x:v>duration_sec</x:v>
      </x:c>
      <x:c r="D336" t="str">
        <x:f>IF(COUNTIFS('ParameterDefinition'!$A$2:$A$1001,'NumericValue'!C93)=1,"OK","ERROR")</x:f>
        <x:v>OK</x:v>
      </x:c>
    </x:row>
    <x:row r="337" ht="28" customHeight="1">
      <x:c r="A337" t="str">
        <x:v>NumericValue</x:v>
      </x:c>
      <x:c r="B337" t="str">
        <x:v>parameter_id @ 94</x:v>
      </x:c>
      <x:c r="C337" t="str">
        <x:v>damage_coefficient_ratio</x:v>
      </x:c>
      <x:c r="D337" t="str">
        <x:f>IF(COUNTIFS('ParameterDefinition'!$A$2:$A$1001,'NumericValue'!C94)=1,"OK","ERROR")</x:f>
        <x:v>OK</x:v>
      </x:c>
    </x:row>
    <x:row r="338" ht="28" customHeight="1">
      <x:c r="A338" t="str">
        <x:v>NumericValue</x:v>
      </x:c>
      <x:c r="B338" t="str">
        <x:v>parameter_id @ 95</x:v>
      </x:c>
      <x:c r="C338" t="str">
        <x:v>max_stack_count</x:v>
      </x:c>
      <x:c r="D338" t="str">
        <x:f>IF(COUNTIFS('ParameterDefinition'!$A$2:$A$1001,'NumericValue'!C95)=1,"OK","ERROR")</x:f>
        <x:v>OK</x:v>
      </x:c>
    </x:row>
    <x:row r="339" ht="28" customHeight="1">
      <x:c r="A339" t="str">
        <x:v>NumericValue</x:v>
      </x:c>
      <x:c r="B339" t="str">
        <x:v>parameter_id @ 96</x:v>
      </x:c>
      <x:c r="C339" t="str">
        <x:v>duration_sec</x:v>
      </x:c>
      <x:c r="D339" t="str">
        <x:f>IF(COUNTIFS('ParameterDefinition'!$A$2:$A$1001,'NumericValue'!C96)=1,"OK","ERROR")</x:f>
        <x:v>OK</x:v>
      </x:c>
    </x:row>
    <x:row r="340" ht="28" customHeight="1">
      <x:c r="A340" t="str">
        <x:v>NumericValue</x:v>
      </x:c>
      <x:c r="B340" t="str">
        <x:v>parameter_id @ 97</x:v>
      </x:c>
      <x:c r="C340" t="str">
        <x:v>damage_coefficient_ratio</x:v>
      </x:c>
      <x:c r="D340" t="str">
        <x:f>IF(COUNTIFS('ParameterDefinition'!$A$2:$A$1001,'NumericValue'!C97)=1,"OK","ERROR")</x:f>
        <x:v>OK</x:v>
      </x:c>
    </x:row>
    <x:row r="341" ht="28" customHeight="1">
      <x:c r="A341" t="str">
        <x:v>NumericValue</x:v>
      </x:c>
      <x:c r="B341" t="str">
        <x:v>parameter_id @ 98</x:v>
      </x:c>
      <x:c r="C341" t="str">
        <x:v>cost_amount</x:v>
      </x:c>
      <x:c r="D341" t="str">
        <x:f>IF(COUNTIFS('ParameterDefinition'!$A$2:$A$1001,'NumericValue'!C98)=1,"OK","ERROR")</x:f>
        <x:v>OK</x:v>
      </x:c>
    </x:row>
    <x:row r="342" ht="28" customHeight="1">
      <x:c r="A342" t="str">
        <x:v>NumericValue</x:v>
      </x:c>
      <x:c r="B342" t="str">
        <x:v>parameter_id @ 99</x:v>
      </x:c>
      <x:c r="C342" t="str">
        <x:v>duration_sec</x:v>
      </x:c>
      <x:c r="D342" t="str">
        <x:f>IF(COUNTIFS('ParameterDefinition'!$A$2:$A$1001,'NumericValue'!C99)=1,"OK","ERROR")</x:f>
        <x:v>OK</x:v>
      </x:c>
    </x:row>
    <x:row r="343" ht="28" customHeight="1">
      <x:c r="A343" t="str">
        <x:v>NumericValue</x:v>
      </x:c>
      <x:c r="B343" t="str">
        <x:v>parameter_id @ 100</x:v>
      </x:c>
      <x:c r="C343" t="str">
        <x:v>damage_coefficient_ratio</x:v>
      </x:c>
      <x:c r="D343" t="str">
        <x:f>IF(COUNTIFS('ParameterDefinition'!$A$2:$A$1001,'NumericValue'!C100)=1,"OK","ERROR")</x:f>
        <x:v>OK</x:v>
      </x:c>
    </x:row>
    <x:row r="344" ht="28" customHeight="1">
      <x:c r="A344" t="str">
        <x:v>NumericValue</x:v>
      </x:c>
      <x:c r="B344" t="str">
        <x:v>parameter_id @ 101</x:v>
      </x:c>
      <x:c r="C344" t="str">
        <x:v>duration_sec</x:v>
      </x:c>
      <x:c r="D344" t="str">
        <x:f>IF(COUNTIFS('ParameterDefinition'!$A$2:$A$1001,'NumericValue'!C101)=1,"OK","ERROR")</x:f>
        <x:v>OK</x:v>
      </x:c>
    </x:row>
    <x:row r="345" ht="28" customHeight="1">
      <x:c r="A345" t="str">
        <x:v>NumericValue</x:v>
      </x:c>
      <x:c r="B345" t="str">
        <x:v>parameter_id @ 102</x:v>
      </x:c>
      <x:c r="C345" t="str">
        <x:v>radius_units</x:v>
      </x:c>
      <x:c r="D345" t="str">
        <x:f>IF(COUNTIFS('ParameterDefinition'!$A$2:$A$1001,'NumericValue'!C102)=1,"OK","ERROR")</x:f>
        <x:v>OK</x:v>
      </x:c>
    </x:row>
    <x:row r="346" ht="28" customHeight="1">
      <x:c r="A346" t="str">
        <x:v>NumericValue</x:v>
      </x:c>
      <x:c r="B346" t="str">
        <x:v>parameter_id @ 103</x:v>
      </x:c>
      <x:c r="C346" t="str">
        <x:v>max_area_count</x:v>
      </x:c>
      <x:c r="D346" t="str">
        <x:f>IF(COUNTIFS('ParameterDefinition'!$A$2:$A$1001,'NumericValue'!C103)=1,"OK","ERROR")</x:f>
        <x:v>OK</x:v>
      </x:c>
    </x:row>
    <x:row r="347" ht="28" customHeight="1">
      <x:c r="A347" t="str">
        <x:v>NumericValue</x:v>
      </x:c>
      <x:c r="B347" t="str">
        <x:v>parameter_id @ 104</x:v>
      </x:c>
      <x:c r="C347" t="str">
        <x:v>damage_coefficient_ratio</x:v>
      </x:c>
      <x:c r="D347" t="str">
        <x:f>IF(COUNTIFS('ParameterDefinition'!$A$2:$A$1001,'NumericValue'!C104)=1,"OK","ERROR")</x:f>
        <x:v>OK</x:v>
      </x:c>
    </x:row>
    <x:row r="348" ht="28" customHeight="1">
      <x:c r="A348" t="str">
        <x:v>NumericValue</x:v>
      </x:c>
      <x:c r="B348" t="str">
        <x:v>parameter_id @ 105</x:v>
      </x:c>
      <x:c r="C348" t="str">
        <x:v>cost_amount</x:v>
      </x:c>
      <x:c r="D348" t="str">
        <x:f>IF(COUNTIFS('ParameterDefinition'!$A$2:$A$1001,'NumericValue'!C105)=1,"OK","ERROR")</x:f>
        <x:v>OK</x:v>
      </x:c>
    </x:row>
    <x:row r="349" ht="28" customHeight="1">
      <x:c r="A349" t="str">
        <x:v>NumericValue</x:v>
      </x:c>
      <x:c r="B349" t="str">
        <x:v>parameter_id @ 106</x:v>
      </x:c>
      <x:c r="C349" t="str">
        <x:v>move_distance_units</x:v>
      </x:c>
      <x:c r="D349" t="str">
        <x:f>IF(COUNTIFS('ParameterDefinition'!$A$2:$A$1001,'NumericValue'!C106)=1,"OK","ERROR")</x:f>
        <x:v>OK</x:v>
      </x:c>
    </x:row>
    <x:row r="350" ht="28" customHeight="1">
      <x:c r="A350" t="str">
        <x:v>NumericValue</x:v>
      </x:c>
      <x:c r="B350" t="str">
        <x:v>parameter_id @ 107</x:v>
      </x:c>
      <x:c r="C350" t="str">
        <x:v>duration_sec</x:v>
      </x:c>
      <x:c r="D350" t="str">
        <x:f>IF(COUNTIFS('ParameterDefinition'!$A$2:$A$1001,'NumericValue'!C107)=1,"OK","ERROR")</x:f>
        <x:v>OK</x:v>
      </x:c>
    </x:row>
    <x:row r="351" ht="28" customHeight="1">
      <x:c r="A351" t="str">
        <x:v>NumericValue</x:v>
      </x:c>
      <x:c r="B351" t="str">
        <x:v>parameter_id @ 108</x:v>
      </x:c>
      <x:c r="C351" t="str">
        <x:v>damage_coefficient_ratio</x:v>
      </x:c>
      <x:c r="D351" t="str">
        <x:f>IF(COUNTIFS('ParameterDefinition'!$A$2:$A$1001,'NumericValue'!C108)=1,"OK","ERROR")</x:f>
        <x:v>OK</x:v>
      </x:c>
    </x:row>
    <x:row r="352" ht="28" customHeight="1">
      <x:c r="A352" t="str">
        <x:v>NumericValue</x:v>
      </x:c>
      <x:c r="B352" t="str">
        <x:v>parameter_id @ 109</x:v>
      </x:c>
      <x:c r="C352" t="str">
        <x:v>duration_sec</x:v>
      </x:c>
      <x:c r="D352" t="str">
        <x:f>IF(COUNTIFS('ParameterDefinition'!$A$2:$A$1001,'NumericValue'!C109)=1,"OK","ERROR")</x:f>
        <x:v>OK</x:v>
      </x:c>
    </x:row>
    <x:row r="353" ht="28" customHeight="1">
      <x:c r="A353" t="str">
        <x:v>NumericValue</x:v>
      </x:c>
      <x:c r="B353" t="str">
        <x:v>parameter_id @ 110</x:v>
      </x:c>
      <x:c r="C353" t="str">
        <x:v>move_distance_units</x:v>
      </x:c>
      <x:c r="D353" t="str">
        <x:f>IF(COUNTIFS('ParameterDefinition'!$A$2:$A$1001,'NumericValue'!C110)=1,"OK","ERROR")</x:f>
        <x:v>OK</x:v>
      </x:c>
    </x:row>
    <x:row r="354" ht="28" customHeight="1">
      <x:c r="A354" t="str">
        <x:v>NumericValue</x:v>
      </x:c>
      <x:c r="B354" t="str">
        <x:v>parameter_id @ 111</x:v>
      </x:c>
      <x:c r="C354" t="str">
        <x:v>cooldown_sec</x:v>
      </x:c>
      <x:c r="D354" t="str">
        <x:f>IF(COUNTIFS('ParameterDefinition'!$A$2:$A$1001,'NumericValue'!C111)=1,"OK","ERROR")</x:f>
        <x:v>OK</x:v>
      </x:c>
    </x:row>
    <x:row r="355" ht="28" customHeight="1">
      <x:c r="A355" t="str">
        <x:v>NumericValue</x:v>
      </x:c>
      <x:c r="B355" t="str">
        <x:v>parameter_id @ 112</x:v>
      </x:c>
      <x:c r="C355" t="str">
        <x:v>cost_amount</x:v>
      </x:c>
      <x:c r="D355" t="str">
        <x:f>IF(COUNTIFS('ParameterDefinition'!$A$2:$A$1001,'NumericValue'!C112)=1,"OK","ERROR")</x:f>
        <x:v>OK</x:v>
      </x:c>
    </x:row>
    <x:row r="356" ht="28" customHeight="1">
      <x:c r="A356" t="str">
        <x:v>NumericValue</x:v>
      </x:c>
      <x:c r="B356" t="str">
        <x:v>parameter_id @ 113</x:v>
      </x:c>
      <x:c r="C356" t="str">
        <x:v>duration_sec</x:v>
      </x:c>
      <x:c r="D356" t="str">
        <x:f>IF(COUNTIFS('ParameterDefinition'!$A$2:$A$1001,'NumericValue'!C113)=1,"OK","ERROR")</x:f>
        <x:v>OK</x:v>
      </x:c>
    </x:row>
    <x:row r="357" ht="28" customHeight="1">
      <x:c r="A357" t="str">
        <x:v>NumericValue</x:v>
      </x:c>
      <x:c r="B357" t="str">
        <x:v>parameter_id @ 114</x:v>
      </x:c>
      <x:c r="C357" t="str">
        <x:v>damage_coefficient_ratio</x:v>
      </x:c>
      <x:c r="D357" t="str">
        <x:f>IF(COUNTIFS('ParameterDefinition'!$A$2:$A$1001,'NumericValue'!C114)=1,"OK","ERROR")</x:f>
        <x:v>OK</x:v>
      </x:c>
    </x:row>
    <x:row r="358" ht="28" customHeight="1">
      <x:c r="A358" t="str">
        <x:v>NumericValue</x:v>
      </x:c>
      <x:c r="B358" t="str">
        <x:v>parameter_id @ 115</x:v>
      </x:c>
      <x:c r="C358" t="str">
        <x:v>damage_coefficient_ratio</x:v>
      </x:c>
      <x:c r="D358" t="str">
        <x:f>IF(COUNTIFS('ParameterDefinition'!$A$2:$A$1001,'NumericValue'!C115)=1,"OK","ERROR")</x:f>
        <x:v>OK</x:v>
      </x:c>
    </x:row>
    <x:row r="359" ht="28" customHeight="1">
      <x:c r="A359" t="str">
        <x:v>NumericValue</x:v>
      </x:c>
      <x:c r="B359" t="str">
        <x:v>parameter_id @ 116</x:v>
      </x:c>
      <x:c r="C359" t="str">
        <x:v>range_units</x:v>
      </x:c>
      <x:c r="D359" t="str">
        <x:f>IF(COUNTIFS('ParameterDefinition'!$A$2:$A$1001,'NumericValue'!C116)=1,"OK","ERROR")</x:f>
        <x:v>OK</x:v>
      </x:c>
    </x:row>
    <x:row r="360" ht="28" customHeight="1">
      <x:c r="A360" t="str">
        <x:v>NumericValue</x:v>
      </x:c>
      <x:c r="B360" t="str">
        <x:v>parameter_id @ 117</x:v>
      </x:c>
      <x:c r="C360" t="str">
        <x:v>projectile_speed_units_per_sec</x:v>
      </x:c>
      <x:c r="D360" t="str">
        <x:f>IF(COUNTIFS('ParameterDefinition'!$A$2:$A$1001,'NumericValue'!C117)=1,"OK","ERROR")</x:f>
        <x:v>OK</x:v>
      </x:c>
    </x:row>
    <x:row r="361" ht="28" customHeight="1">
      <x:c r="A361" t="str">
        <x:v>NumericValue</x:v>
      </x:c>
      <x:c r="B361" t="str">
        <x:v>parameter_id @ 118</x:v>
      </x:c>
      <x:c r="C361" t="str">
        <x:v>duration_sec</x:v>
      </x:c>
      <x:c r="D361" t="str">
        <x:f>IF(COUNTIFS('ParameterDefinition'!$A$2:$A$1001,'NumericValue'!C118)=1,"OK","ERROR")</x:f>
        <x:v>OK</x:v>
      </x:c>
    </x:row>
    <x:row r="362" ht="28" customHeight="1">
      <x:c r="A362" t="str">
        <x:v>NumericValue</x:v>
      </x:c>
      <x:c r="B362" t="str">
        <x:v>parameter_id @ 119</x:v>
      </x:c>
      <x:c r="C362" t="str">
        <x:v>cost_amount</x:v>
      </x:c>
      <x:c r="D362" t="str">
        <x:f>IF(COUNTIFS('ParameterDefinition'!$A$2:$A$1001,'NumericValue'!C119)=1,"OK","ERROR")</x:f>
        <x:v>OK</x:v>
      </x:c>
    </x:row>
    <x:row r="363" ht="28" customHeight="1">
      <x:c r="A363" t="str">
        <x:v>NumericValue</x:v>
      </x:c>
      <x:c r="B363" t="str">
        <x:v>parameter_id @ 120</x:v>
      </x:c>
      <x:c r="C363" t="str">
        <x:v>move_distance_units</x:v>
      </x:c>
      <x:c r="D363" t="str">
        <x:f>IF(COUNTIFS('ParameterDefinition'!$A$2:$A$1001,'NumericValue'!C120)=1,"OK","ERROR")</x:f>
        <x:v>OK</x:v>
      </x:c>
    </x:row>
    <x:row r="364" ht="28" customHeight="1">
      <x:c r="A364" t="str">
        <x:v>NumericValue</x:v>
      </x:c>
      <x:c r="B364" t="str">
        <x:v>parameter_id @ 121</x:v>
      </x:c>
      <x:c r="C364" t="str">
        <x:v>duration_sec</x:v>
      </x:c>
      <x:c r="D364" t="str">
        <x:f>IF(COUNTIFS('ParameterDefinition'!$A$2:$A$1001,'NumericValue'!C121)=1,"OK","ERROR")</x:f>
        <x:v>OK</x:v>
      </x:c>
    </x:row>
    <x:row r="365" ht="28" customHeight="1">
      <x:c r="A365" t="str">
        <x:v>NumericValue</x:v>
      </x:c>
      <x:c r="B365" t="str">
        <x:v>parameter_id @ 122</x:v>
      </x:c>
      <x:c r="C365" t="str">
        <x:v>damage_coefficient_ratio</x:v>
      </x:c>
      <x:c r="D365" t="str">
        <x:f>IF(COUNTIFS('ParameterDefinition'!$A$2:$A$1001,'NumericValue'!C122)=1,"OK","ERROR")</x:f>
        <x:v>OK</x:v>
      </x:c>
    </x:row>
    <x:row r="366" ht="28" customHeight="1">
      <x:c r="A366" t="str">
        <x:v>NumericValue</x:v>
      </x:c>
      <x:c r="B366" t="str">
        <x:v>parameter_id @ 123</x:v>
      </x:c>
      <x:c r="C366" t="str">
        <x:v>damage_coefficient_ratio</x:v>
      </x:c>
      <x:c r="D366" t="str">
        <x:f>IF(COUNTIFS('ParameterDefinition'!$A$2:$A$1001,'NumericValue'!C123)=1,"OK","ERROR")</x:f>
        <x:v>OK</x:v>
      </x:c>
    </x:row>
    <x:row r="367" ht="28" customHeight="1">
      <x:c r="A367" t="str">
        <x:v>NumericValue</x:v>
      </x:c>
      <x:c r="B367" t="str">
        <x:v>parameter_id @ 124</x:v>
      </x:c>
      <x:c r="C367" t="str">
        <x:v>move_distance_units</x:v>
      </x:c>
      <x:c r="D367" t="str">
        <x:f>IF(COUNTIFS('ParameterDefinition'!$A$2:$A$1001,'NumericValue'!C124)=1,"OK","ERROR")</x:f>
        <x:v>OK</x:v>
      </x:c>
    </x:row>
    <x:row r="368" ht="28" customHeight="1">
      <x:c r="A368" t="str">
        <x:v>NumericValue</x:v>
      </x:c>
      <x:c r="B368" t="str">
        <x:v>parameter_id @ 125</x:v>
      </x:c>
      <x:c r="C368" t="str">
        <x:v>duration_sec</x:v>
      </x:c>
      <x:c r="D368" t="str">
        <x:f>IF(COUNTIFS('ParameterDefinition'!$A$2:$A$1001,'NumericValue'!C125)=1,"OK","ERROR")</x:f>
        <x:v>OK</x:v>
      </x:c>
    </x:row>
    <x:row r="369" ht="28" customHeight="1">
      <x:c r="A369" t="str">
        <x:v>NumericValue</x:v>
      </x:c>
      <x:c r="B369" t="str">
        <x:v>parameter_id @ 126</x:v>
      </x:c>
      <x:c r="C369" t="str">
        <x:v>cost_amount</x:v>
      </x:c>
      <x:c r="D369" t="str">
        <x:f>IF(COUNTIFS('ParameterDefinition'!$A$2:$A$1001,'NumericValue'!C126)=1,"OK","ERROR")</x:f>
        <x:v>OK</x:v>
      </x:c>
    </x:row>
    <x:row r="370" ht="28" customHeight="1">
      <x:c r="A370" t="str">
        <x:v>NumericValue</x:v>
      </x:c>
      <x:c r="B370" t="str">
        <x:v>parameter_id @ 127</x:v>
      </x:c>
      <x:c r="C370" t="str">
        <x:v>duration_sec</x:v>
      </x:c>
      <x:c r="D370" t="str">
        <x:f>IF(COUNTIFS('ParameterDefinition'!$A$2:$A$1001,'NumericValue'!C127)=1,"OK","ERROR")</x:f>
        <x:v>OK</x:v>
      </x:c>
    </x:row>
    <x:row r="371" ht="28" customHeight="1">
      <x:c r="A371" t="str">
        <x:v>NumericValue</x:v>
      </x:c>
      <x:c r="B371" t="str">
        <x:v>parameter_id @ 128</x:v>
      </x:c>
      <x:c r="C371" t="str">
        <x:v>damage_coefficient_ratio</x:v>
      </x:c>
      <x:c r="D371" t="str">
        <x:f>IF(COUNTIFS('ParameterDefinition'!$A$2:$A$1001,'NumericValue'!C128)=1,"OK","ERROR")</x:f>
        <x:v>OK</x:v>
      </x:c>
    </x:row>
    <x:row r="372" ht="28" customHeight="1">
      <x:c r="A372" t="str">
        <x:v>NumericValue</x:v>
      </x:c>
      <x:c r="B372" t="str">
        <x:v>parameter_id @ 129</x:v>
      </x:c>
      <x:c r="C372" t="str">
        <x:v>damage_coefficient_ratio</x:v>
      </x:c>
      <x:c r="D372" t="str">
        <x:f>IF(COUNTIFS('ParameterDefinition'!$A$2:$A$1001,'NumericValue'!C129)=1,"OK","ERROR")</x:f>
        <x:v>OK</x:v>
      </x:c>
    </x:row>
    <x:row r="373" ht="28" customHeight="1">
      <x:c r="A373" t="str">
        <x:v>NumericValue</x:v>
      </x:c>
      <x:c r="B373" t="str">
        <x:v>parameter_id @ 130</x:v>
      </x:c>
      <x:c r="C373" t="str">
        <x:v>range_units</x:v>
      </x:c>
      <x:c r="D373" t="str">
        <x:f>IF(COUNTIFS('ParameterDefinition'!$A$2:$A$1001,'NumericValue'!C130)=1,"OK","ERROR")</x:f>
        <x:v>OK</x:v>
      </x:c>
    </x:row>
    <x:row r="374" ht="28" customHeight="1">
      <x:c r="A374" t="str">
        <x:v>NumericValue</x:v>
      </x:c>
      <x:c r="B374" t="str">
        <x:v>parameter_id @ 131</x:v>
      </x:c>
      <x:c r="C374" t="str">
        <x:v>projectile_speed_units_per_sec</x:v>
      </x:c>
      <x:c r="D374" t="str">
        <x:f>IF(COUNTIFS('ParameterDefinition'!$A$2:$A$1001,'NumericValue'!C131)=1,"OK","ERROR")</x:f>
        <x:v>OK</x:v>
      </x:c>
    </x:row>
    <x:row r="375" ht="28" customHeight="1">
      <x:c r="A375" t="str">
        <x:v>NumericValue</x:v>
      </x:c>
      <x:c r="B375" t="str">
        <x:v>parameter_id @ 132</x:v>
      </x:c>
      <x:c r="C375" t="str">
        <x:v>cooldown_sec</x:v>
      </x:c>
      <x:c r="D375" t="str">
        <x:f>IF(COUNTIFS('ParameterDefinition'!$A$2:$A$1001,'NumericValue'!C132)=1,"OK","ERROR")</x:f>
        <x:v>OK</x:v>
      </x:c>
    </x:row>
    <x:row r="376" ht="28" customHeight="1">
      <x:c r="A376" t="str">
        <x:v>NumericValue</x:v>
      </x:c>
      <x:c r="B376" t="str">
        <x:v>parameter_id @ 133</x:v>
      </x:c>
      <x:c r="C376" t="str">
        <x:v>cost_amount</x:v>
      </x:c>
      <x:c r="D376" t="str">
        <x:f>IF(COUNTIFS('ParameterDefinition'!$A$2:$A$1001,'NumericValue'!C133)=1,"OK","ERROR")</x:f>
        <x:v>OK</x:v>
      </x:c>
    </x:row>
    <x:row r="377" ht="28" customHeight="1">
      <x:c r="A377" t="str">
        <x:v>NumericValue</x:v>
      </x:c>
      <x:c r="B377" t="str">
        <x:v>parameter_id @ 134</x:v>
      </x:c>
      <x:c r="C377" t="str">
        <x:v>move_distance_units</x:v>
      </x:c>
      <x:c r="D377" t="str">
        <x:f>IF(COUNTIFS('ParameterDefinition'!$A$2:$A$1001,'NumericValue'!C134)=1,"OK","ERROR")</x:f>
        <x:v>OK</x:v>
      </x:c>
    </x:row>
    <x:row r="378" ht="28" customHeight="1">
      <x:c r="A378" t="str">
        <x:v>NumericValue</x:v>
      </x:c>
      <x:c r="B378" t="str">
        <x:v>parameter_id @ 135</x:v>
      </x:c>
      <x:c r="C378" t="str">
        <x:v>damage_coefficient_ratio</x:v>
      </x:c>
      <x:c r="D378" t="str">
        <x:f>IF(COUNTIFS('ParameterDefinition'!$A$2:$A$1001,'NumericValue'!C135)=1,"OK","ERROR")</x:f>
        <x:v>OK</x:v>
      </x:c>
    </x:row>
    <x:row r="379" ht="28" customHeight="1">
      <x:c r="A379" t="str">
        <x:v>NumericValue</x:v>
      </x:c>
      <x:c r="B379" t="str">
        <x:v>parameter_id @ 136</x:v>
      </x:c>
      <x:c r="C379" t="str">
        <x:v>duration_sec</x:v>
      </x:c>
      <x:c r="D379" t="str">
        <x:f>IF(COUNTIFS('ParameterDefinition'!$A$2:$A$1001,'NumericValue'!C136)=1,"OK","ERROR")</x:f>
        <x:v>OK</x:v>
      </x:c>
    </x:row>
    <x:row r="380" ht="28" customHeight="1">
      <x:c r="A380" t="str">
        <x:v>NumericValue</x:v>
      </x:c>
      <x:c r="B380" t="str">
        <x:v>parameter_id @ 137</x:v>
      </x:c>
      <x:c r="C380" t="str">
        <x:v>radius_units</x:v>
      </x:c>
      <x:c r="D380" t="str">
        <x:f>IF(COUNTIFS('ParameterDefinition'!$A$2:$A$1001,'NumericValue'!C137)=1,"OK","ERROR")</x:f>
        <x:v>OK</x:v>
      </x:c>
    </x:row>
    <x:row r="381" ht="28" customHeight="1">
      <x:c r="A381" t="str">
        <x:v>NumericValue</x:v>
      </x:c>
      <x:c r="B381" t="str">
        <x:v>parameter_id @ 138</x:v>
      </x:c>
      <x:c r="C381" t="str">
        <x:v>slow_ratio</x:v>
      </x:c>
      <x:c r="D381" t="str">
        <x:f>IF(COUNTIFS('ParameterDefinition'!$A$2:$A$1001,'NumericValue'!C138)=1,"OK","ERROR")</x:f>
        <x:v>OK</x:v>
      </x:c>
    </x:row>
    <x:row r="382" ht="28" customHeight="1">
      <x:c r="A382" t="str">
        <x:v>NumericValue</x:v>
      </x:c>
      <x:c r="B382" t="str">
        <x:v>parameter_id @ 139</x:v>
      </x:c>
      <x:c r="C382" t="str">
        <x:v>damage_coefficient_ratio</x:v>
      </x:c>
      <x:c r="D382" t="str">
        <x:f>IF(COUNTIFS('ParameterDefinition'!$A$2:$A$1001,'NumericValue'!C139)=1,"OK","ERROR")</x:f>
        <x:v>OK</x:v>
      </x:c>
    </x:row>
    <x:row r="383" ht="28" customHeight="1">
      <x:c r="A383" t="str">
        <x:v>NumericValue</x:v>
      </x:c>
      <x:c r="B383" t="str">
        <x:v>parameter_id @ 140</x:v>
      </x:c>
      <x:c r="C383" t="str">
        <x:v>max_area_count</x:v>
      </x:c>
      <x:c r="D383" t="str">
        <x:f>IF(COUNTIFS('ParameterDefinition'!$A$2:$A$1001,'NumericValue'!C140)=1,"OK","ERROR")</x:f>
        <x:v>OK</x:v>
      </x:c>
    </x:row>
    <x:row r="384" ht="28" customHeight="1">
      <x:c r="A384" t="str">
        <x:v>NumericValue</x:v>
      </x:c>
      <x:c r="B384" t="str">
        <x:v>parameter_id @ 141</x:v>
      </x:c>
      <x:c r="C384" t="str">
        <x:v>cost_amount</x:v>
      </x:c>
      <x:c r="D384" t="str">
        <x:f>IF(COUNTIFS('ParameterDefinition'!$A$2:$A$1001,'NumericValue'!C141)=1,"OK","ERROR")</x:f>
        <x:v>OK</x:v>
      </x:c>
    </x:row>
    <x:row r="385" ht="28" customHeight="1">
      <x:c r="A385" t="str">
        <x:v>NumericValue</x:v>
      </x:c>
      <x:c r="B385" t="str">
        <x:v>parameter_id @ 142</x:v>
      </x:c>
      <x:c r="C385" t="str">
        <x:v>timing_window_sec</x:v>
      </x:c>
      <x:c r="D385" t="str">
        <x:f>IF(COUNTIFS('ParameterDefinition'!$A$2:$A$1001,'NumericValue'!C142)=1,"OK","ERROR")</x:f>
        <x:v>OK</x:v>
      </x:c>
    </x:row>
    <x:row r="386" ht="28" customHeight="1">
      <x:c r="A386" t="str">
        <x:v>NumericValue</x:v>
      </x:c>
      <x:c r="B386" t="str">
        <x:v>parameter_id @ 143</x:v>
      </x:c>
      <x:c r="C386" t="str">
        <x:v>damage_coefficient_ratio</x:v>
      </x:c>
      <x:c r="D386" t="str">
        <x:f>IF(COUNTIFS('ParameterDefinition'!$A$2:$A$1001,'NumericValue'!C143)=1,"OK","ERROR")</x:f>
        <x:v>OK</x:v>
      </x:c>
    </x:row>
    <x:row r="387" ht="28" customHeight="1">
      <x:c r="A387" t="str">
        <x:v>NumericValue</x:v>
      </x:c>
      <x:c r="B387" t="str">
        <x:v>parameter_id @ 144</x:v>
      </x:c>
      <x:c r="C387" t="str">
        <x:v>duration_sec</x:v>
      </x:c>
      <x:c r="D387" t="str">
        <x:f>IF(COUNTIFS('ParameterDefinition'!$A$2:$A$1001,'NumericValue'!C144)=1,"OK","ERROR")</x:f>
        <x:v>OK</x:v>
      </x:c>
    </x:row>
    <x:row r="388" ht="28" customHeight="1">
      <x:c r="A388" t="str">
        <x:v>NumericValue</x:v>
      </x:c>
      <x:c r="B388" t="str">
        <x:v>parameter_id @ 145</x:v>
      </x:c>
      <x:c r="C388" t="str">
        <x:v>range_units</x:v>
      </x:c>
      <x:c r="D388" t="str">
        <x:f>IF(COUNTIFS('ParameterDefinition'!$A$2:$A$1001,'NumericValue'!C145)=1,"OK","ERROR")</x:f>
        <x:v>OK</x:v>
      </x:c>
    </x:row>
    <x:row r="389" ht="28" customHeight="1">
      <x:c r="A389" t="str">
        <x:v>NumericValue</x:v>
      </x:c>
      <x:c r="B389" t="str">
        <x:v>parameter_id @ 146</x:v>
      </x:c>
      <x:c r="C389" t="str">
        <x:v>slow_ratio</x:v>
      </x:c>
      <x:c r="D389" t="str">
        <x:f>IF(COUNTIFS('ParameterDefinition'!$A$2:$A$1001,'NumericValue'!C146)=1,"OK","ERROR")</x:f>
        <x:v>OK</x:v>
      </x:c>
    </x:row>
    <x:row r="390" ht="28" customHeight="1">
      <x:c r="A390" t="str">
        <x:v>NumericValue</x:v>
      </x:c>
      <x:c r="B390" t="str">
        <x:v>parameter_id @ 147</x:v>
      </x:c>
      <x:c r="C390" t="str">
        <x:v>max_area_count</x:v>
      </x:c>
      <x:c r="D390" t="str">
        <x:f>IF(COUNTIFS('ParameterDefinition'!$A$2:$A$1001,'NumericValue'!C147)=1,"OK","ERROR")</x:f>
        <x:v>OK</x:v>
      </x:c>
    </x:row>
    <x:row r="391" ht="28" customHeight="1">
      <x:c r="A391" t="str">
        <x:v>NumericValue</x:v>
      </x:c>
      <x:c r="B391" t="str">
        <x:v>parameter_id @ 148</x:v>
      </x:c>
      <x:c r="C391" t="str">
        <x:v>cooldown_sec</x:v>
      </x:c>
      <x:c r="D391" t="str">
        <x:f>IF(COUNTIFS('ParameterDefinition'!$A$2:$A$1001,'NumericValue'!C148)=1,"OK","ERROR")</x:f>
        <x:v>OK</x:v>
      </x:c>
    </x:row>
    <x:row r="392" ht="28" customHeight="1">
      <x:c r="A392" t="str">
        <x:v>NumericValue</x:v>
      </x:c>
      <x:c r="B392" t="str">
        <x:v>parameter_id @ 149</x:v>
      </x:c>
      <x:c r="C392" t="str">
        <x:v>move_distance_units</x:v>
      </x:c>
      <x:c r="D392" t="str">
        <x:f>IF(COUNTIFS('ParameterDefinition'!$A$2:$A$1001,'NumericValue'!C149)=1,"OK","ERROR")</x:f>
        <x:v>OK</x:v>
      </x:c>
    </x:row>
    <x:row r="393" ht="28" customHeight="1">
      <x:c r="A393" t="str">
        <x:v>NumericValue</x:v>
      </x:c>
      <x:c r="B393" t="str">
        <x:v>parameter_id @ 150</x:v>
      </x:c>
      <x:c r="C393" t="str">
        <x:v>cost_amount</x:v>
      </x:c>
      <x:c r="D393" t="str">
        <x:f>IF(COUNTIFS('ParameterDefinition'!$A$2:$A$1001,'NumericValue'!C150)=1,"OK","ERROR")</x:f>
        <x:v>OK</x:v>
      </x:c>
    </x:row>
    <x:row r="394" ht="28" customHeight="1">
      <x:c r="A394" t="str">
        <x:v>NumericValue</x:v>
      </x:c>
      <x:c r="B394" t="str">
        <x:v>parameter_id @ 151</x:v>
      </x:c>
      <x:c r="C394" t="str">
        <x:v>base_attack</x:v>
      </x:c>
      <x:c r="D394" t="str">
        <x:f>IF(COUNTIFS('ParameterDefinition'!$A$2:$A$1001,'NumericValue'!C151)=1,"OK","ERROR")</x:f>
        <x:v>OK</x:v>
      </x:c>
    </x:row>
    <x:row r="395" ht="28" customHeight="1">
      <x:c r="A395" t="str">
        <x:v>NumericValue</x:v>
      </x:c>
      <x:c r="B395" t="str">
        <x:v>parameter_id @ 152</x:v>
      </x:c>
      <x:c r="C395" t="str">
        <x:v>attack_move_speed_ratio</x:v>
      </x:c>
      <x:c r="D395" t="str">
        <x:f>IF(COUNTIFS('ParameterDefinition'!$A$2:$A$1001,'NumericValue'!C152)=1,"OK","ERROR")</x:f>
        <x:v>OK</x:v>
      </x:c>
    </x:row>
    <x:row r="396" ht="28" customHeight="1">
      <x:c r="A396" t="str">
        <x:v>NumericValue</x:v>
      </x:c>
      <x:c r="B396" t="str">
        <x:v>parameter_id @ 153</x:v>
      </x:c>
      <x:c r="C396" t="str">
        <x:v>mana_cost</x:v>
      </x:c>
      <x:c r="D396" t="str">
        <x:f>IF(COUNTIFS('ParameterDefinition'!$A$2:$A$1001,'NumericValue'!C153)=1,"OK","ERROR")</x:f>
        <x:v>OK</x:v>
      </x:c>
    </x:row>
    <x:row r="397" ht="28" customHeight="1">
      <x:c r="A397" t="str">
        <x:v>NumericValue</x:v>
      </x:c>
      <x:c r="B397" t="str">
        <x:v>parameter_id @ 154</x:v>
      </x:c>
      <x:c r="C397" t="str">
        <x:v>combo_end_gap_sec</x:v>
      </x:c>
      <x:c r="D397" t="str">
        <x:f>IF(COUNTIFS('ParameterDefinition'!$A$2:$A$1001,'NumericValue'!C154)=1,"OK","ERROR")</x:f>
        <x:v>OK</x:v>
      </x:c>
    </x:row>
    <x:row r="398" ht="28" customHeight="1">
      <x:c r="A398" t="str">
        <x:v>NumericValue</x:v>
      </x:c>
      <x:c r="B398" t="str">
        <x:v>parameter_id @ 155</x:v>
      </x:c>
      <x:c r="C398" t="str">
        <x:v>base_attack</x:v>
      </x:c>
      <x:c r="D398" t="str">
        <x:f>IF(COUNTIFS('ParameterDefinition'!$A$2:$A$1001,'NumericValue'!C155)=1,"OK","ERROR")</x:f>
        <x:v>OK</x:v>
      </x:c>
    </x:row>
    <x:row r="399" ht="28" customHeight="1">
      <x:c r="A399" t="str">
        <x:v>NumericValue</x:v>
      </x:c>
      <x:c r="B399" t="str">
        <x:v>parameter_id @ 156</x:v>
      </x:c>
      <x:c r="C399" t="str">
        <x:v>attack_move_speed_ratio</x:v>
      </x:c>
      <x:c r="D399" t="str">
        <x:f>IF(COUNTIFS('ParameterDefinition'!$A$2:$A$1001,'NumericValue'!C156)=1,"OK","ERROR")</x:f>
        <x:v>OK</x:v>
      </x:c>
    </x:row>
    <x:row r="400" ht="28" customHeight="1">
      <x:c r="A400" t="str">
        <x:v>NumericValue</x:v>
      </x:c>
      <x:c r="B400" t="str">
        <x:v>parameter_id @ 157</x:v>
      </x:c>
      <x:c r="C400" t="str">
        <x:v>mana_cost</x:v>
      </x:c>
      <x:c r="D400" t="str">
        <x:f>IF(COUNTIFS('ParameterDefinition'!$A$2:$A$1001,'NumericValue'!C157)=1,"OK","ERROR")</x:f>
        <x:v>OK</x:v>
      </x:c>
    </x:row>
    <x:row r="401" ht="28" customHeight="1">
      <x:c r="A401" t="str">
        <x:v>NumericValue</x:v>
      </x:c>
      <x:c r="B401" t="str">
        <x:v>parameter_id @ 158</x:v>
      </x:c>
      <x:c r="C401" t="str">
        <x:v>combo_end_gap_sec</x:v>
      </x:c>
      <x:c r="D401" t="str">
        <x:f>IF(COUNTIFS('ParameterDefinition'!$A$2:$A$1001,'NumericValue'!C158)=1,"OK","ERROR")</x:f>
        <x:v>OK</x:v>
      </x:c>
    </x:row>
    <x:row r="402" ht="28" customHeight="1">
      <x:c r="A402" t="str">
        <x:v>NumericValue</x:v>
      </x:c>
      <x:c r="B402" t="str">
        <x:v>parameter_id @ 159</x:v>
      </x:c>
      <x:c r="C402" t="str">
        <x:v>base_attack</x:v>
      </x:c>
      <x:c r="D402" t="str">
        <x:f>IF(COUNTIFS('ParameterDefinition'!$A$2:$A$1001,'NumericValue'!C159)=1,"OK","ERROR")</x:f>
        <x:v>OK</x:v>
      </x:c>
    </x:row>
    <x:row r="403" ht="28" customHeight="1">
      <x:c r="A403" t="str">
        <x:v>NumericValue</x:v>
      </x:c>
      <x:c r="B403" t="str">
        <x:v>parameter_id @ 160</x:v>
      </x:c>
      <x:c r="C403" t="str">
        <x:v>attack_move_speed_ratio</x:v>
      </x:c>
      <x:c r="D403" t="str">
        <x:f>IF(COUNTIFS('ParameterDefinition'!$A$2:$A$1001,'NumericValue'!C160)=1,"OK","ERROR")</x:f>
        <x:v>OK</x:v>
      </x:c>
    </x:row>
    <x:row r="404" ht="28" customHeight="1">
      <x:c r="A404" t="str">
        <x:v>NumericValue</x:v>
      </x:c>
      <x:c r="B404" t="str">
        <x:v>parameter_id @ 161</x:v>
      </x:c>
      <x:c r="C404" t="str">
        <x:v>mana_cost</x:v>
      </x:c>
      <x:c r="D404" t="str">
        <x:f>IF(COUNTIFS('ParameterDefinition'!$A$2:$A$1001,'NumericValue'!C161)=1,"OK","ERROR")</x:f>
        <x:v>OK</x:v>
      </x:c>
    </x:row>
    <x:row r="405" ht="28" customHeight="1">
      <x:c r="A405" t="str">
        <x:v>NumericValue</x:v>
      </x:c>
      <x:c r="B405" t="str">
        <x:v>parameter_id @ 162</x:v>
      </x:c>
      <x:c r="C405" t="str">
        <x:v>combo_end_gap_sec</x:v>
      </x:c>
      <x:c r="D405" t="str">
        <x:f>IF(COUNTIFS('ParameterDefinition'!$A$2:$A$1001,'NumericValue'!C162)=1,"OK","ERROR")</x:f>
        <x:v>OK</x:v>
      </x:c>
    </x:row>
    <x:row r="406" ht="28" customHeight="1">
      <x:c r="A406" t="str">
        <x:v>NumericValue</x:v>
      </x:c>
      <x:c r="B406" t="str">
        <x:v>parameter_id @ 163</x:v>
      </x:c>
      <x:c r="C406" t="str">
        <x:v>base_attack</x:v>
      </x:c>
      <x:c r="D406" t="str">
        <x:f>IF(COUNTIFS('ParameterDefinition'!$A$2:$A$1001,'NumericValue'!C163)=1,"OK","ERROR")</x:f>
        <x:v>OK</x:v>
      </x:c>
    </x:row>
    <x:row r="407" ht="28" customHeight="1">
      <x:c r="A407" t="str">
        <x:v>NumericValue</x:v>
      </x:c>
      <x:c r="B407" t="str">
        <x:v>parameter_id @ 164</x:v>
      </x:c>
      <x:c r="C407" t="str">
        <x:v>attack_move_speed_ratio</x:v>
      </x:c>
      <x:c r="D407" t="str">
        <x:f>IF(COUNTIFS('ParameterDefinition'!$A$2:$A$1001,'NumericValue'!C164)=1,"OK","ERROR")</x:f>
        <x:v>OK</x:v>
      </x:c>
    </x:row>
    <x:row r="408" ht="28" customHeight="1">
      <x:c r="A408" t="str">
        <x:v>NumericValue</x:v>
      </x:c>
      <x:c r="B408" t="str">
        <x:v>parameter_id @ 165</x:v>
      </x:c>
      <x:c r="C408" t="str">
        <x:v>mana_cost</x:v>
      </x:c>
      <x:c r="D408" t="str">
        <x:f>IF(COUNTIFS('ParameterDefinition'!$A$2:$A$1001,'NumericValue'!C165)=1,"OK","ERROR")</x:f>
        <x:v>OK</x:v>
      </x:c>
    </x:row>
    <x:row r="409" ht="28" customHeight="1">
      <x:c r="A409" t="str">
        <x:v>NumericValue</x:v>
      </x:c>
      <x:c r="B409" t="str">
        <x:v>parameter_id @ 166</x:v>
      </x:c>
      <x:c r="C409" t="str">
        <x:v>combo_end_gap_sec</x:v>
      </x:c>
      <x:c r="D409" t="str">
        <x:f>IF(COUNTIFS('ParameterDefinition'!$A$2:$A$1001,'NumericValue'!C166)=1,"OK","ERROR")</x:f>
        <x:v>OK</x:v>
      </x:c>
    </x:row>
    <x:row r="410" ht="28" customHeight="1">
      <x:c r="A410" t="str">
        <x:v>NumericValue</x:v>
      </x:c>
      <x:c r="B410" t="str">
        <x:v>parameter_id @ 167</x:v>
      </x:c>
      <x:c r="C410" t="str">
        <x:v>base_attack</x:v>
      </x:c>
      <x:c r="D410" t="str">
        <x:f>IF(COUNTIFS('ParameterDefinition'!$A$2:$A$1001,'NumericValue'!C167)=1,"OK","ERROR")</x:f>
        <x:v>OK</x:v>
      </x:c>
    </x:row>
    <x:row r="411" ht="28" customHeight="1">
      <x:c r="A411" t="str">
        <x:v>NumericValue</x:v>
      </x:c>
      <x:c r="B411" t="str">
        <x:v>parameter_id @ 168</x:v>
      </x:c>
      <x:c r="C411" t="str">
        <x:v>attack_move_speed_ratio</x:v>
      </x:c>
      <x:c r="D411" t="str">
        <x:f>IF(COUNTIFS('ParameterDefinition'!$A$2:$A$1001,'NumericValue'!C168)=1,"OK","ERROR")</x:f>
        <x:v>OK</x:v>
      </x:c>
    </x:row>
    <x:row r="412" ht="28" customHeight="1">
      <x:c r="A412" t="str">
        <x:v>NumericValue</x:v>
      </x:c>
      <x:c r="B412" t="str">
        <x:v>parameter_id @ 169</x:v>
      </x:c>
      <x:c r="C412" t="str">
        <x:v>mana_cost</x:v>
      </x:c>
      <x:c r="D412" t="str">
        <x:f>IF(COUNTIFS('ParameterDefinition'!$A$2:$A$1001,'NumericValue'!C169)=1,"OK","ERROR")</x:f>
        <x:v>OK</x:v>
      </x:c>
    </x:row>
    <x:row r="413" ht="28" customHeight="1">
      <x:c r="A413" t="str">
        <x:v>NumericValue</x:v>
      </x:c>
      <x:c r="B413" t="str">
        <x:v>parameter_id @ 170</x:v>
      </x:c>
      <x:c r="C413" t="str">
        <x:v>combo_end_gap_sec</x:v>
      </x:c>
      <x:c r="D413" t="str">
        <x:f>IF(COUNTIFS('ParameterDefinition'!$A$2:$A$1001,'NumericValue'!C170)=1,"OK","ERROR")</x:f>
        <x:v>OK</x:v>
      </x:c>
    </x:row>
    <x:row r="414" ht="28" customHeight="1">
      <x:c r="A414" t="str">
        <x:v>NumericValue</x:v>
      </x:c>
      <x:c r="B414" t="str">
        <x:v>parameter_id @ 171</x:v>
      </x:c>
      <x:c r="C414" t="str">
        <x:v>base_attack</x:v>
      </x:c>
      <x:c r="D414" t="str">
        <x:f>IF(COUNTIFS('ParameterDefinition'!$A$2:$A$1001,'NumericValue'!C171)=1,"OK","ERROR")</x:f>
        <x:v>OK</x:v>
      </x:c>
    </x:row>
    <x:row r="415" ht="28" customHeight="1">
      <x:c r="A415" t="str">
        <x:v>NumericValue</x:v>
      </x:c>
      <x:c r="B415" t="str">
        <x:v>parameter_id @ 172</x:v>
      </x:c>
      <x:c r="C415" t="str">
        <x:v>attack_move_speed_ratio</x:v>
      </x:c>
      <x:c r="D415" t="str">
        <x:f>IF(COUNTIFS('ParameterDefinition'!$A$2:$A$1001,'NumericValue'!C172)=1,"OK","ERROR")</x:f>
        <x:v>OK</x:v>
      </x:c>
    </x:row>
    <x:row r="416" ht="28" customHeight="1">
      <x:c r="A416" t="str">
        <x:v>NumericValue</x:v>
      </x:c>
      <x:c r="B416" t="str">
        <x:v>parameter_id @ 173</x:v>
      </x:c>
      <x:c r="C416" t="str">
        <x:v>mana_cost</x:v>
      </x:c>
      <x:c r="D416" t="str">
        <x:f>IF(COUNTIFS('ParameterDefinition'!$A$2:$A$1001,'NumericValue'!C173)=1,"OK","ERROR")</x:f>
        <x:v>OK</x:v>
      </x:c>
    </x:row>
    <x:row r="417" ht="28" customHeight="1">
      <x:c r="A417" t="str">
        <x:v>NumericValue</x:v>
      </x:c>
      <x:c r="B417" t="str">
        <x:v>parameter_id @ 174</x:v>
      </x:c>
      <x:c r="C417" t="str">
        <x:v>magazine_capacity</x:v>
      </x:c>
      <x:c r="D417" t="str">
        <x:f>IF(COUNTIFS('ParameterDefinition'!$A$2:$A$1001,'NumericValue'!C174)=1,"OK","ERROR")</x:f>
        <x:v>OK</x:v>
      </x:c>
    </x:row>
    <x:row r="418" ht="28" customHeight="1">
      <x:c r="A418" t="str">
        <x:v>NumericValue</x:v>
      </x:c>
      <x:c r="B418" t="str">
        <x:v>parameter_id @ 175</x:v>
      </x:c>
      <x:c r="C418" t="str">
        <x:v>reload_sec</x:v>
      </x:c>
      <x:c r="D418" t="str">
        <x:f>IF(COUNTIFS('ParameterDefinition'!$A$2:$A$1001,'NumericValue'!C175)=1,"OK","ERROR")</x:f>
        <x:v>OK</x:v>
      </x:c>
    </x:row>
    <x:row r="419" ht="28" customHeight="1">
      <x:c r="A419" t="str">
        <x:v>NumericValue</x:v>
      </x:c>
      <x:c r="B419" t="str">
        <x:v>parameter_id @ 176</x:v>
      </x:c>
      <x:c r="C419" t="str">
        <x:v>base_attack</x:v>
      </x:c>
      <x:c r="D419" t="str">
        <x:f>IF(COUNTIFS('ParameterDefinition'!$A$2:$A$1001,'NumericValue'!C176)=1,"OK","ERROR")</x:f>
        <x:v>OK</x:v>
      </x:c>
    </x:row>
    <x:row r="420" ht="28" customHeight="1">
      <x:c r="A420" t="str">
        <x:v>NumericValue</x:v>
      </x:c>
      <x:c r="B420" t="str">
        <x:v>parameter_id @ 177</x:v>
      </x:c>
      <x:c r="C420" t="str">
        <x:v>attack_move_speed_ratio</x:v>
      </x:c>
      <x:c r="D420" t="str">
        <x:f>IF(COUNTIFS('ParameterDefinition'!$A$2:$A$1001,'NumericValue'!C177)=1,"OK","ERROR")</x:f>
        <x:v>OK</x:v>
      </x:c>
    </x:row>
    <x:row r="421" ht="28" customHeight="1">
      <x:c r="A421" t="str">
        <x:v>NumericValue</x:v>
      </x:c>
      <x:c r="B421" t="str">
        <x:v>parameter_id @ 178</x:v>
      </x:c>
      <x:c r="C421" t="str">
        <x:v>mana_cost</x:v>
      </x:c>
      <x:c r="D421" t="str">
        <x:f>IF(COUNTIFS('ParameterDefinition'!$A$2:$A$1001,'NumericValue'!C178)=1,"OK","ERROR")</x:f>
        <x:v>OK</x:v>
      </x:c>
    </x:row>
    <x:row r="422" ht="28" customHeight="1">
      <x:c r="A422" t="str">
        <x:v>NumericValue</x:v>
      </x:c>
      <x:c r="B422" t="str">
        <x:v>parameter_id @ 179</x:v>
      </x:c>
      <x:c r="C422" t="str">
        <x:v>magazine_capacity</x:v>
      </x:c>
      <x:c r="D422" t="str">
        <x:f>IF(COUNTIFS('ParameterDefinition'!$A$2:$A$1001,'NumericValue'!C179)=1,"OK","ERROR")</x:f>
        <x:v>OK</x:v>
      </x:c>
    </x:row>
    <x:row r="423" ht="28" customHeight="1">
      <x:c r="A423" t="str">
        <x:v>NumericValue</x:v>
      </x:c>
      <x:c r="B423" t="str">
        <x:v>parameter_id @ 180</x:v>
      </x:c>
      <x:c r="C423" t="str">
        <x:v>reload_sec</x:v>
      </x:c>
      <x:c r="D423" t="str">
        <x:f>IF(COUNTIFS('ParameterDefinition'!$A$2:$A$1001,'NumericValue'!C180)=1,"OK","ERROR")</x:f>
        <x:v>OK</x:v>
      </x:c>
    </x:row>
    <x:row r="424" ht="28" customHeight="1">
      <x:c r="A424" t="str">
        <x:v>CardCandidate</x:v>
      </x:c>
      <x:c r="B424" t="str">
        <x:v>name_key @ 2</x:v>
      </x:c>
      <x:c r="C424" t="str">
        <x:v>name_card_zeus_general</x:v>
      </x:c>
      <x:c r="D424" t="str">
        <x:f>IF(COUNTIFS('Text'!$A$2:$A$1001,'CardCandidate'!B2)=1,"OK","ERROR")</x:f>
        <x:v>OK</x:v>
      </x:c>
    </x:row>
    <x:row r="425" ht="28" customHeight="1">
      <x:c r="A425" t="str">
        <x:v>CardCandidate</x:v>
      </x:c>
      <x:c r="B425" t="str">
        <x:v>name_key @ 3</x:v>
      </x:c>
      <x:c r="C425" t="str">
        <x:v>name_card_zeus_exclusive</x:v>
      </x:c>
      <x:c r="D425" t="str">
        <x:f>IF(COUNTIFS('Text'!$A$2:$A$1001,'CardCandidate'!B3)=1,"OK","ERROR")</x:f>
        <x:v>OK</x:v>
      </x:c>
    </x:row>
    <x:row r="426" ht="28" customHeight="1">
      <x:c r="A426" t="str">
        <x:v>CardCandidate</x:v>
      </x:c>
      <x:c r="B426" t="str">
        <x:v>name_key @ 4</x:v>
      </x:c>
      <x:c r="C426" t="str">
        <x:v>name_card_thor_general</x:v>
      </x:c>
      <x:c r="D426" t="str">
        <x:f>IF(COUNTIFS('Text'!$A$2:$A$1001,'CardCandidate'!B4)=1,"OK","ERROR")</x:f>
        <x:v>OK</x:v>
      </x:c>
    </x:row>
    <x:row r="427" ht="28" customHeight="1">
      <x:c r="A427" t="str">
        <x:v>CardCandidate</x:v>
      </x:c>
      <x:c r="B427" t="str">
        <x:v>name_key @ 5</x:v>
      </x:c>
      <x:c r="C427" t="str">
        <x:v>name_card_thor_exclusive</x:v>
      </x:c>
      <x:c r="D427" t="str">
        <x:f>IF(COUNTIFS('Text'!$A$2:$A$1001,'CardCandidate'!B5)=1,"OK","ERROR")</x:f>
        <x:v>OK</x:v>
      </x:c>
    </x:row>
    <x:row r="428" ht="28" customHeight="1">
      <x:c r="A428" t="str">
        <x:v>CardCandidate</x:v>
      </x:c>
      <x:c r="B428" t="str">
        <x:v>name_key @ 6</x:v>
      </x:c>
      <x:c r="C428" t="str">
        <x:v>name_card_apollo_general</x:v>
      </x:c>
      <x:c r="D428" t="str">
        <x:f>IF(COUNTIFS('Text'!$A$2:$A$1001,'CardCandidate'!B6)=1,"OK","ERROR")</x:f>
        <x:v>OK</x:v>
      </x:c>
    </x:row>
    <x:row r="429" ht="28" customHeight="1">
      <x:c r="A429" t="str">
        <x:v>CardCandidate</x:v>
      </x:c>
      <x:c r="B429" t="str">
        <x:v>name_key @ 7</x:v>
      </x:c>
      <x:c r="C429" t="str">
        <x:v>name_card_apollo_exclusive</x:v>
      </x:c>
      <x:c r="D429" t="str">
        <x:f>IF(COUNTIFS('Text'!$A$2:$A$1001,'CardCandidate'!B7)=1,"OK","ERROR")</x:f>
        <x:v>OK</x:v>
      </x:c>
    </x:row>
    <x:row r="430" ht="28" customHeight="1">
      <x:c r="A430" t="str">
        <x:v>CardCandidate</x:v>
      </x:c>
      <x:c r="B430" t="str">
        <x:v>name_key @ 8</x:v>
      </x:c>
      <x:c r="C430" t="str">
        <x:v>name_card_ares_general</x:v>
      </x:c>
      <x:c r="D430" t="str">
        <x:f>IF(COUNTIFS('Text'!$A$2:$A$1001,'CardCandidate'!B8)=1,"OK","ERROR")</x:f>
        <x:v>OK</x:v>
      </x:c>
    </x:row>
    <x:row r="431" ht="28" customHeight="1">
      <x:c r="A431" t="str">
        <x:v>CardCandidate</x:v>
      </x:c>
      <x:c r="B431" t="str">
        <x:v>name_key @ 9</x:v>
      </x:c>
      <x:c r="C431" t="str">
        <x:v>name_card_ares_exclusive</x:v>
      </x:c>
      <x:c r="D431" t="str">
        <x:f>IF(COUNTIFS('Text'!$A$2:$A$1001,'CardCandidate'!B9)=1,"OK","ERROR")</x:f>
        <x:v>OK</x:v>
      </x:c>
    </x:row>
    <x:row r="432" ht="28" customHeight="1">
      <x:c r="A432" t="str">
        <x:v>CardCandidate</x:v>
      </x:c>
      <x:c r="B432" t="str">
        <x:v>name_key @ 10</x:v>
      </x:c>
      <x:c r="C432" t="str">
        <x:v>name_card_hades_general</x:v>
      </x:c>
      <x:c r="D432" t="str">
        <x:f>IF(COUNTIFS('Text'!$A$2:$A$1001,'CardCandidate'!B10)=1,"OK","ERROR")</x:f>
        <x:v>OK</x:v>
      </x:c>
    </x:row>
    <x:row r="433" ht="28" customHeight="1">
      <x:c r="A433" t="str">
        <x:v>CardCandidate</x:v>
      </x:c>
      <x:c r="B433" t="str">
        <x:v>name_key @ 11</x:v>
      </x:c>
      <x:c r="C433" t="str">
        <x:v>name_card_hades_exclusive</x:v>
      </x:c>
      <x:c r="D433" t="str">
        <x:f>IF(COUNTIFS('Text'!$A$2:$A$1001,'CardCandidate'!B11)=1,"OK","ERROR")</x:f>
        <x:v>OK</x:v>
      </x:c>
    </x:row>
    <x:row r="434" ht="28" customHeight="1">
      <x:c r="A434" t="str">
        <x:v>CardCandidate</x:v>
      </x:c>
      <x:c r="B434" t="str">
        <x:v>name_key @ 12</x:v>
      </x:c>
      <x:c r="C434" t="str">
        <x:v>name_card_artemis_general</x:v>
      </x:c>
      <x:c r="D434" t="str">
        <x:f>IF(COUNTIFS('Text'!$A$2:$A$1001,'CardCandidate'!B12)=1,"OK","ERROR")</x:f>
        <x:v>OK</x:v>
      </x:c>
    </x:row>
    <x:row r="435" ht="28" customHeight="1">
      <x:c r="A435" t="str">
        <x:v>CardCandidate</x:v>
      </x:c>
      <x:c r="B435" t="str">
        <x:v>name_key @ 13</x:v>
      </x:c>
      <x:c r="C435" t="str">
        <x:v>name_card_artemis_exclusive</x:v>
      </x:c>
      <x:c r="D435" t="str">
        <x:f>IF(COUNTIFS('Text'!$A$2:$A$1001,'CardCandidate'!B13)=1,"OK","ERROR")</x:f>
        <x:v>OK</x:v>
      </x:c>
    </x:row>
    <x:row r="436" ht="28" customHeight="1">
      <x:c r="A436" t="str">
        <x:v>CardCandidate</x:v>
      </x:c>
      <x:c r="B436" t="str">
        <x:v>name_key @ 14</x:v>
      </x:c>
      <x:c r="C436" t="str">
        <x:v>name_card_skadi_general</x:v>
      </x:c>
      <x:c r="D436" t="str">
        <x:f>IF(COUNTIFS('Text'!$A$2:$A$1001,'CardCandidate'!B14)=1,"OK","ERROR")</x:f>
        <x:v>OK</x:v>
      </x:c>
    </x:row>
    <x:row r="437" ht="28" customHeight="1">
      <x:c r="A437" t="str">
        <x:v>CardCandidate</x:v>
      </x:c>
      <x:c r="B437" t="str">
        <x:v>name_key @ 15</x:v>
      </x:c>
      <x:c r="C437" t="str">
        <x:v>name_card_skadi_exclusive</x:v>
      </x:c>
      <x:c r="D437" t="str">
        <x:f>IF(COUNTIFS('Text'!$A$2:$A$1001,'CardCandidate'!B15)=1,"OK","ERROR")</x:f>
        <x:v>OK</x:v>
      </x:c>
    </x:row>
    <x:row r="438" ht="28" customHeight="1">
      <x:c r="A438" t="str">
        <x:v>CardCandidate</x:v>
      </x:c>
      <x:c r="B438" t="str">
        <x:v>theme_divinity_id @ 2</x:v>
      </x:c>
      <x:c r="C438" t="str">
        <x:v>divinity_zeus</x:v>
      </x:c>
      <x:c r="D438" t="str">
        <x:f>IF(COUNTIFS('Divinity'!$A$2:$A$1001,'CardCandidate'!D2)=1,"OK","ERROR")</x:f>
        <x:v>OK</x:v>
      </x:c>
    </x:row>
    <x:row r="439" ht="28" customHeight="1">
      <x:c r="A439" t="str">
        <x:v>CardCandidate</x:v>
      </x:c>
      <x:c r="B439" t="str">
        <x:v>theme_divinity_id @ 3</x:v>
      </x:c>
      <x:c r="C439" t="str">
        <x:v>divinity_zeus</x:v>
      </x:c>
      <x:c r="D439" t="str">
        <x:f>IF(COUNTIFS('Divinity'!$A$2:$A$1001,'CardCandidate'!D3)=1,"OK","ERROR")</x:f>
        <x:v>OK</x:v>
      </x:c>
    </x:row>
    <x:row r="440" ht="28" customHeight="1">
      <x:c r="A440" t="str">
        <x:v>CardCandidate</x:v>
      </x:c>
      <x:c r="B440" t="str">
        <x:v>theme_divinity_id @ 4</x:v>
      </x:c>
      <x:c r="C440" t="str">
        <x:v>divinity_thor</x:v>
      </x:c>
      <x:c r="D440" t="str">
        <x:f>IF(COUNTIFS('Divinity'!$A$2:$A$1001,'CardCandidate'!D4)=1,"OK","ERROR")</x:f>
        <x:v>OK</x:v>
      </x:c>
    </x:row>
    <x:row r="441" ht="28" customHeight="1">
      <x:c r="A441" t="str">
        <x:v>CardCandidate</x:v>
      </x:c>
      <x:c r="B441" t="str">
        <x:v>theme_divinity_id @ 5</x:v>
      </x:c>
      <x:c r="C441" t="str">
        <x:v>divinity_thor</x:v>
      </x:c>
      <x:c r="D441" t="str">
        <x:f>IF(COUNTIFS('Divinity'!$A$2:$A$1001,'CardCandidate'!D5)=1,"OK","ERROR")</x:f>
        <x:v>OK</x:v>
      </x:c>
    </x:row>
    <x:row r="442" ht="28" customHeight="1">
      <x:c r="A442" t="str">
        <x:v>CardCandidate</x:v>
      </x:c>
      <x:c r="B442" t="str">
        <x:v>theme_divinity_id @ 6</x:v>
      </x:c>
      <x:c r="C442" t="str">
        <x:v>divinity_apollo</x:v>
      </x:c>
      <x:c r="D442" t="str">
        <x:f>IF(COUNTIFS('Divinity'!$A$2:$A$1001,'CardCandidate'!D6)=1,"OK","ERROR")</x:f>
        <x:v>OK</x:v>
      </x:c>
    </x:row>
    <x:row r="443" ht="28" customHeight="1">
      <x:c r="A443" t="str">
        <x:v>CardCandidate</x:v>
      </x:c>
      <x:c r="B443" t="str">
        <x:v>theme_divinity_id @ 7</x:v>
      </x:c>
      <x:c r="C443" t="str">
        <x:v>divinity_apollo</x:v>
      </x:c>
      <x:c r="D443" t="str">
        <x:f>IF(COUNTIFS('Divinity'!$A$2:$A$1001,'CardCandidate'!D7)=1,"OK","ERROR")</x:f>
        <x:v>OK</x:v>
      </x:c>
    </x:row>
    <x:row r="444" ht="28" customHeight="1">
      <x:c r="A444" t="str">
        <x:v>CardCandidate</x:v>
      </x:c>
      <x:c r="B444" t="str">
        <x:v>theme_divinity_id @ 8</x:v>
      </x:c>
      <x:c r="C444" t="str">
        <x:v>divinity_ares</x:v>
      </x:c>
      <x:c r="D444" t="str">
        <x:f>IF(COUNTIFS('Divinity'!$A$2:$A$1001,'CardCandidate'!D8)=1,"OK","ERROR")</x:f>
        <x:v>OK</x:v>
      </x:c>
    </x:row>
    <x:row r="445" ht="28" customHeight="1">
      <x:c r="A445" t="str">
        <x:v>CardCandidate</x:v>
      </x:c>
      <x:c r="B445" t="str">
        <x:v>theme_divinity_id @ 9</x:v>
      </x:c>
      <x:c r="C445" t="str">
        <x:v>divinity_ares</x:v>
      </x:c>
      <x:c r="D445" t="str">
        <x:f>IF(COUNTIFS('Divinity'!$A$2:$A$1001,'CardCandidate'!D9)=1,"OK","ERROR")</x:f>
        <x:v>OK</x:v>
      </x:c>
    </x:row>
    <x:row r="446" ht="28" customHeight="1">
      <x:c r="A446" t="str">
        <x:v>CardCandidate</x:v>
      </x:c>
      <x:c r="B446" t="str">
        <x:v>theme_divinity_id @ 10</x:v>
      </x:c>
      <x:c r="C446" t="str">
        <x:v>divinity_hades</x:v>
      </x:c>
      <x:c r="D446" t="str">
        <x:f>IF(COUNTIFS('Divinity'!$A$2:$A$1001,'CardCandidate'!D10)=1,"OK","ERROR")</x:f>
        <x:v>OK</x:v>
      </x:c>
    </x:row>
    <x:row r="447" ht="28" customHeight="1">
      <x:c r="A447" t="str">
        <x:v>CardCandidate</x:v>
      </x:c>
      <x:c r="B447" t="str">
        <x:v>theme_divinity_id @ 11</x:v>
      </x:c>
      <x:c r="C447" t="str">
        <x:v>divinity_hades</x:v>
      </x:c>
      <x:c r="D447" t="str">
        <x:f>IF(COUNTIFS('Divinity'!$A$2:$A$1001,'CardCandidate'!D11)=1,"OK","ERROR")</x:f>
        <x:v>OK</x:v>
      </x:c>
    </x:row>
    <x:row r="448" ht="28" customHeight="1">
      <x:c r="A448" t="str">
        <x:v>CardCandidate</x:v>
      </x:c>
      <x:c r="B448" t="str">
        <x:v>theme_divinity_id @ 12</x:v>
      </x:c>
      <x:c r="C448" t="str">
        <x:v>divinity_artemis</x:v>
      </x:c>
      <x:c r="D448" t="str">
        <x:f>IF(COUNTIFS('Divinity'!$A$2:$A$1001,'CardCandidate'!D12)=1,"OK","ERROR")</x:f>
        <x:v>OK</x:v>
      </x:c>
    </x:row>
    <x:row r="449" ht="28" customHeight="1">
      <x:c r="A449" t="str">
        <x:v>CardCandidate</x:v>
      </x:c>
      <x:c r="B449" t="str">
        <x:v>theme_divinity_id @ 13</x:v>
      </x:c>
      <x:c r="C449" t="str">
        <x:v>divinity_artemis</x:v>
      </x:c>
      <x:c r="D449" t="str">
        <x:f>IF(COUNTIFS('Divinity'!$A$2:$A$1001,'CardCandidate'!D13)=1,"OK","ERROR")</x:f>
        <x:v>OK</x:v>
      </x:c>
    </x:row>
    <x:row r="450" ht="28" customHeight="1">
      <x:c r="A450" t="str">
        <x:v>CardCandidate</x:v>
      </x:c>
      <x:c r="B450" t="str">
        <x:v>theme_divinity_id @ 14</x:v>
      </x:c>
      <x:c r="C450" t="str">
        <x:v>divinity_skadi</x:v>
      </x:c>
      <x:c r="D450" t="str">
        <x:f>IF(COUNTIFS('Divinity'!$A$2:$A$1001,'CardCandidate'!D14)=1,"OK","ERROR")</x:f>
        <x:v>OK</x:v>
      </x:c>
    </x:row>
    <x:row r="451" ht="28" customHeight="1">
      <x:c r="A451" t="str">
        <x:v>CardCandidate</x:v>
      </x:c>
      <x:c r="B451" t="str">
        <x:v>theme_divinity_id @ 15</x:v>
      </x:c>
      <x:c r="C451" t="str">
        <x:v>divinity_skadi</x:v>
      </x:c>
      <x:c r="D451" t="str">
        <x:f>IF(COUNTIFS('Divinity'!$A$2:$A$1001,'CardCandidate'!D15)=1,"OK","ERROR")</x:f>
        <x:v>OK</x:v>
      </x:c>
    </x:row>
    <x:row r="452" ht="28" customHeight="1">
      <x:c r="A452" t="str">
        <x:v>ProgressionEdge</x:v>
      </x:c>
      <x:c r="B452" t="str">
        <x:v>from_id @ 2</x:v>
      </x:c>
      <x:c r="C452" t="str">
        <x:v>weapon_spear</x:v>
      </x:c>
      <x:c r="D452" t="str">
        <x:f>IF(COUNTIFS('Weapon'!$A$2:$A$1001,'ProgressionEdge'!C2)=1,"OK","ERROR")</x:f>
        <x:v>OK</x:v>
      </x:c>
    </x:row>
    <x:row r="453" ht="28" customHeight="1">
      <x:c r="A453" t="str">
        <x:v>ProgressionEdge</x:v>
      </x:c>
      <x:c r="B453" t="str">
        <x:v>from_id @ 3</x:v>
      </x:c>
      <x:c r="C453" t="str">
        <x:v>weapon_spear</x:v>
      </x:c>
      <x:c r="D453" t="str">
        <x:f>IF(COUNTIFS('Weapon'!$A$2:$A$1001,'ProgressionEdge'!C3)=1,"OK","ERROR")</x:f>
        <x:v>OK</x:v>
      </x:c>
    </x:row>
    <x:row r="454" ht="28" customHeight="1">
      <x:c r="A454" t="str">
        <x:v>ProgressionEdge</x:v>
      </x:c>
      <x:c r="B454" t="str">
        <x:v>from_id @ 4</x:v>
      </x:c>
      <x:c r="C454" t="str">
        <x:v>weapon_hammer</x:v>
      </x:c>
      <x:c r="D454" t="str">
        <x:f>IF(COUNTIFS('Weapon'!$A$2:$A$1001,'ProgressionEdge'!C4)=1,"OK","ERROR")</x:f>
        <x:v>OK</x:v>
      </x:c>
    </x:row>
    <x:row r="455" ht="28" customHeight="1">
      <x:c r="A455" t="str">
        <x:v>ProgressionEdge</x:v>
      </x:c>
      <x:c r="B455" t="str">
        <x:v>from_id @ 5</x:v>
      </x:c>
      <x:c r="C455" t="str">
        <x:v>weapon_hammer</x:v>
      </x:c>
      <x:c r="D455" t="str">
        <x:f>IF(COUNTIFS('Weapon'!$A$2:$A$1001,'ProgressionEdge'!C5)=1,"OK","ERROR")</x:f>
        <x:v>OK</x:v>
      </x:c>
    </x:row>
    <x:row r="456" ht="28" customHeight="1">
      <x:c r="A456" t="str">
        <x:v>ProgressionEdge</x:v>
      </x:c>
      <x:c r="B456" t="str">
        <x:v>from_id @ 6</x:v>
      </x:c>
      <x:c r="C456" t="str">
        <x:v>weapon_greatsword</x:v>
      </x:c>
      <x:c r="D456" t="str">
        <x:f>IF(COUNTIFS('Weapon'!$A$2:$A$1001,'ProgressionEdge'!C6)=1,"OK","ERROR")</x:f>
        <x:v>OK</x:v>
      </x:c>
    </x:row>
    <x:row r="457" ht="28" customHeight="1">
      <x:c r="A457" t="str">
        <x:v>ProgressionEdge</x:v>
      </x:c>
      <x:c r="B457" t="str">
        <x:v>from_id @ 7</x:v>
      </x:c>
      <x:c r="C457" t="str">
        <x:v>weapon_dagger</x:v>
      </x:c>
      <x:c r="D457" t="str">
        <x:f>IF(COUNTIFS('Weapon'!$A$2:$A$1001,'ProgressionEdge'!C7)=1,"OK","ERROR")</x:f>
        <x:v>OK</x:v>
      </x:c>
    </x:row>
    <x:row r="458" ht="28" customHeight="1">
      <x:c r="A458" t="str">
        <x:v>ProgressionEdge</x:v>
      </x:c>
      <x:c r="B458" t="str">
        <x:v>from_id @ 8</x:v>
      </x:c>
      <x:c r="C458" t="str">
        <x:v>weapon_sword_shield</x:v>
      </x:c>
      <x:c r="D458" t="str">
        <x:f>IF(COUNTIFS('Weapon'!$A$2:$A$1001,'ProgressionEdge'!C8)=1,"OK","ERROR")</x:f>
        <x:v>OK</x:v>
      </x:c>
    </x:row>
    <x:row r="459" ht="28" customHeight="1">
      <x:c r="A459" t="str">
        <x:v>ProgressionEdge</x:v>
      </x:c>
      <x:c r="B459" t="str">
        <x:v>from_id @ 9</x:v>
      </x:c>
      <x:c r="C459" t="str">
        <x:v>weapon_bow</x:v>
      </x:c>
      <x:c r="D459" t="str">
        <x:f>IF(COUNTIFS('Weapon'!$A$2:$A$1001,'ProgressionEdge'!C9)=1,"OK","ERROR")</x:f>
        <x:v>OK</x:v>
      </x:c>
    </x:row>
    <x:row r="460" ht="28" customHeight="1">
      <x:c r="A460" t="str">
        <x:v>ProgressionEdge</x:v>
      </x:c>
      <x:c r="B460" t="str">
        <x:v>from_id @ 10</x:v>
      </x:c>
      <x:c r="C460" t="str">
        <x:v>weapon_bow</x:v>
      </x:c>
      <x:c r="D460" t="str">
        <x:f>IF(COUNTIFS('Weapon'!$A$2:$A$1001,'ProgressionEdge'!C10)=1,"OK","ERROR")</x:f>
        <x:v>OK</x:v>
      </x:c>
    </x:row>
    <x:row r="461" ht="28" customHeight="1">
      <x:c r="A461" t="str">
        <x:v>ProgressionEdge</x:v>
      </x:c>
      <x:c r="B461" t="str">
        <x:v>from_id @ 11</x:v>
      </x:c>
      <x:c r="C461" t="str">
        <x:v>weapon_staff</x:v>
      </x:c>
      <x:c r="D461" t="str">
        <x:f>IF(COUNTIFS('Weapon'!$A$2:$A$1001,'ProgressionEdge'!C11)=1,"OK","ERROR")</x:f>
        <x:v>OK</x:v>
      </x:c>
    </x:row>
    <x:row r="462" ht="28" customHeight="1">
      <x:c r="A462" t="str">
        <x:v>ProgressionEdge</x:v>
      </x:c>
      <x:c r="B462" t="str">
        <x:v>from_id @ 12</x:v>
      </x:c>
      <x:c r="C462" t="str">
        <x:v>upgrade_m2_sp_line</x:v>
      </x:c>
      <x:c r="D462" t="str">
        <x:f>IF(COUNTIFS('Upgrade'!$A$2:$A$1001,'ProgressionEdge'!C12)=1,"OK","ERROR")</x:f>
        <x:v>OK</x:v>
      </x:c>
    </x:row>
    <x:row r="463" ht="28" customHeight="1">
      <x:c r="A463" t="str">
        <x:v>ProgressionEdge</x:v>
      </x:c>
      <x:c r="B463" t="str">
        <x:v>from_id @ 13</x:v>
      </x:c>
      <x:c r="C463" t="str">
        <x:v>upgrade_m2_hm_impact</x:v>
      </x:c>
      <x:c r="D463" t="str">
        <x:f>IF(COUNTIFS('Upgrade'!$A$2:$A$1001,'ProgressionEdge'!C13)=1,"OK","ERROR")</x:f>
        <x:v>OK</x:v>
      </x:c>
    </x:row>
    <x:row r="464" ht="28" customHeight="1">
      <x:c r="A464" t="str">
        <x:v>ProgressionEdge</x:v>
      </x:c>
      <x:c r="B464" t="str">
        <x:v>from_id @ 14</x:v>
      </x:c>
      <x:c r="C464" t="str">
        <x:v>upgrade_m2_ss_counter</x:v>
      </x:c>
      <x:c r="D464" t="str">
        <x:f>IF(COUNTIFS('Upgrade'!$A$2:$A$1001,'ProgressionEdge'!C14)=1,"OK","ERROR")</x:f>
        <x:v>OK</x:v>
      </x:c>
    </x:row>
    <x:row r="465" ht="28" customHeight="1">
      <x:c r="A465" t="str">
        <x:v>ProgressionEdge</x:v>
      </x:c>
      <x:c r="B465" t="str">
        <x:v>from_id @ 15</x:v>
      </x:c>
      <x:c r="C465" t="str">
        <x:v>upgrade_m2_hm_return</x:v>
      </x:c>
      <x:c r="D465" t="str">
        <x:f>IF(COUNTIFS('Upgrade'!$A$2:$A$1001,'ProgressionEdge'!C15)=1,"OK","ERROR")</x:f>
        <x:v>OK</x:v>
      </x:c>
    </x:row>
    <x:row r="466" ht="28" customHeight="1">
      <x:c r="A466" t="str">
        <x:v>ProgressionEdge</x:v>
      </x:c>
      <x:c r="B466" t="str">
        <x:v>from_id @ 16</x:v>
      </x:c>
      <x:c r="C466" t="str">
        <x:v>upgrade_m2_hm_impact</x:v>
      </x:c>
      <x:c r="D466" t="str">
        <x:f>IF(COUNTIFS('Upgrade'!$A$2:$A$1001,'ProgressionEdge'!C16)=1,"OK","ERROR")</x:f>
        <x:v>OK</x:v>
      </x:c>
    </x:row>
    <x:row r="467" ht="28" customHeight="1">
      <x:c r="A467" t="str">
        <x:v>ProgressionEdge</x:v>
      </x:c>
      <x:c r="B467" t="str">
        <x:v>from_id @ 17</x:v>
      </x:c>
      <x:c r="C467" t="str">
        <x:v>upgrade_m2_sp_line</x:v>
      </x:c>
      <x:c r="D467" t="str">
        <x:f>IF(COUNTIFS('Upgrade'!$A$2:$A$1001,'ProgressionEdge'!C17)=1,"OK","ERROR")</x:f>
        <x:v>OK</x:v>
      </x:c>
    </x:row>
    <x:row r="468" ht="28" customHeight="1">
      <x:c r="A468" t="str">
        <x:v>ProgressionEdge</x:v>
      </x:c>
      <x:c r="B468" t="str">
        <x:v>from_id @ 18</x:v>
      </x:c>
      <x:c r="C468" t="str">
        <x:v>upgrade_m2_bw_aim</x:v>
      </x:c>
      <x:c r="D468" t="str">
        <x:f>IF(COUNTIFS('Upgrade'!$A$2:$A$1001,'ProgressionEdge'!C18)=1,"OK","ERROR")</x:f>
        <x:v>OK</x:v>
      </x:c>
    </x:row>
    <x:row r="469" ht="28" customHeight="1">
      <x:c r="A469" t="str">
        <x:v>ProgressionEdge</x:v>
      </x:c>
      <x:c r="B469" t="str">
        <x:v>from_id @ 19</x:v>
      </x:c>
      <x:c r="C469" t="str">
        <x:v>upgrade_m2_st_cadence</x:v>
      </x:c>
      <x:c r="D469" t="str">
        <x:f>IF(COUNTIFS('Upgrade'!$A$2:$A$1001,'ProgressionEdge'!C19)=1,"OK","ERROR")</x:f>
        <x:v>OK</x:v>
      </x:c>
    </x:row>
    <x:row r="470" ht="28" customHeight="1">
      <x:c r="A470" t="str">
        <x:v>ProgressionEdge</x:v>
      </x:c>
      <x:c r="B470" t="str">
        <x:v>from_id @ 20</x:v>
      </x:c>
      <x:c r="C470" t="str">
        <x:v>upgrade_m2_sp_pursuit</x:v>
      </x:c>
      <x:c r="D470" t="str">
        <x:f>IF(COUNTIFS('Upgrade'!$A$2:$A$1001,'ProgressionEdge'!C20)=1,"OK","ERROR")</x:f>
        <x:v>OK</x:v>
      </x:c>
    </x:row>
    <x:row r="471" ht="28" customHeight="1">
      <x:c r="A471" t="str">
        <x:v>ProgressionEdge</x:v>
      </x:c>
      <x:c r="B471" t="str">
        <x:v>from_id @ 21</x:v>
      </x:c>
      <x:c r="C471" t="str">
        <x:v>upgrade_m2_gs_seal</x:v>
      </x:c>
      <x:c r="D471" t="str">
        <x:f>IF(COUNTIFS('Upgrade'!$A$2:$A$1001,'ProgressionEdge'!C21)=1,"OK","ERROR")</x:f>
        <x:v>OK</x:v>
      </x:c>
    </x:row>
    <x:row r="472" ht="28" customHeight="1">
      <x:c r="A472" t="str">
        <x:v>ProgressionEdge</x:v>
      </x:c>
      <x:c r="B472" t="str">
        <x:v>from_id @ 22</x:v>
      </x:c>
      <x:c r="C472" t="str">
        <x:v>upgrade_m2_ss_counter</x:v>
      </x:c>
      <x:c r="D472" t="str">
        <x:f>IF(COUNTIFS('Upgrade'!$A$2:$A$1001,'ProgressionEdge'!C22)=1,"OK","ERROR")</x:f>
        <x:v>OK</x:v>
      </x:c>
    </x:row>
    <x:row r="473" ht="28" customHeight="1">
      <x:c r="A473" t="str">
        <x:v>ProgressionEdge</x:v>
      </x:c>
      <x:c r="B473" t="str">
        <x:v>from_id @ 23</x:v>
      </x:c>
      <x:c r="C473" t="str">
        <x:v>upgrade_m2_gs_seal</x:v>
      </x:c>
      <x:c r="D473" t="str">
        <x:f>IF(COUNTIFS('Upgrade'!$A$2:$A$1001,'ProgressionEdge'!C23)=1,"OK","ERROR")</x:f>
        <x:v>OK</x:v>
      </x:c>
    </x:row>
    <x:row r="474" ht="28" customHeight="1">
      <x:c r="A474" t="str">
        <x:v>ProgressionEdge</x:v>
      </x:c>
      <x:c r="B474" t="str">
        <x:v>from_id @ 24</x:v>
      </x:c>
      <x:c r="C474" t="str">
        <x:v>upgrade_m2_dg_stalk</x:v>
      </x:c>
      <x:c r="D474" t="str">
        <x:f>IF(COUNTIFS('Upgrade'!$A$2:$A$1001,'ProgressionEdge'!C24)=1,"OK","ERROR")</x:f>
        <x:v>OK</x:v>
      </x:c>
    </x:row>
    <x:row r="475" ht="28" customHeight="1">
      <x:c r="A475" t="str">
        <x:v>ProgressionEdge</x:v>
      </x:c>
      <x:c r="B475" t="str">
        <x:v>from_id @ 25</x:v>
      </x:c>
      <x:c r="C475" t="str">
        <x:v>upgrade_m2_sp_pursuit</x:v>
      </x:c>
      <x:c r="D475" t="str">
        <x:f>IF(COUNTIFS('Upgrade'!$A$2:$A$1001,'ProgressionEdge'!C25)=1,"OK","ERROR")</x:f>
        <x:v>OK</x:v>
      </x:c>
    </x:row>
    <x:row r="476" ht="28" customHeight="1">
      <x:c r="A476" t="str">
        <x:v>ProgressionEdge</x:v>
      </x:c>
      <x:c r="B476" t="str">
        <x:v>from_id @ 26</x:v>
      </x:c>
      <x:c r="C476" t="str">
        <x:v>upgrade_m2_dg_stalk</x:v>
      </x:c>
      <x:c r="D476" t="str">
        <x:f>IF(COUNTIFS('Upgrade'!$A$2:$A$1001,'ProgressionEdge'!C26)=1,"OK","ERROR")</x:f>
        <x:v>OK</x:v>
      </x:c>
    </x:row>
    <x:row r="477" ht="28" customHeight="1">
      <x:c r="A477" t="str">
        <x:v>ProgressionEdge</x:v>
      </x:c>
      <x:c r="B477" t="str">
        <x:v>from_id @ 27</x:v>
      </x:c>
      <x:c r="C477" t="str">
        <x:v>upgrade_m2_bw_aim</x:v>
      </x:c>
      <x:c r="D477" t="str">
        <x:f>IF(COUNTIFS('Upgrade'!$A$2:$A$1001,'ProgressionEdge'!C27)=1,"OK","ERROR")</x:f>
        <x:v>OK</x:v>
      </x:c>
    </x:row>
    <x:row r="478" ht="28" customHeight="1">
      <x:c r="A478" t="str">
        <x:v>ProgressionEdge</x:v>
      </x:c>
      <x:c r="B478" t="str">
        <x:v>from_id @ 28</x:v>
      </x:c>
      <x:c r="C478" t="str">
        <x:v>upgrade_m2_bw_move</x:v>
      </x:c>
      <x:c r="D478" t="str">
        <x:f>IF(COUNTIFS('Upgrade'!$A$2:$A$1001,'ProgressionEdge'!C28)=1,"OK","ERROR")</x:f>
        <x:v>OK</x:v>
      </x:c>
    </x:row>
    <x:row r="479" ht="28" customHeight="1">
      <x:c r="A479" t="str">
        <x:v>ProgressionEdge</x:v>
      </x:c>
      <x:c r="B479" t="str">
        <x:v>from_id @ 29</x:v>
      </x:c>
      <x:c r="C479" t="str">
        <x:v>upgrade_m2_st_cadence</x:v>
      </x:c>
      <x:c r="D479" t="str">
        <x:f>IF(COUNTIFS('Upgrade'!$A$2:$A$1001,'ProgressionEdge'!C29)=1,"OK","ERROR")</x:f>
        <x:v>OK</x:v>
      </x:c>
    </x:row>
    <x:row r="480" ht="28" customHeight="1">
      <x:c r="A480" t="str">
        <x:v>NumericValue</x:v>
      </x:c>
      <x:c r="B480" t="str">
        <x:v>owner_id @ 2</x:v>
      </x:c>
      <x:c r="C480" t="str">
        <x:v>effect_m2_sp_line_base</x:v>
      </x:c>
      <x:c r="D480" t="str">
        <x:f>IF(COUNTIFS('Effect'!$A$2:$A$1001,'NumericValue'!B2)=1,"OK","ERROR")</x:f>
        <x:v>OK</x:v>
      </x:c>
    </x:row>
    <x:row r="481" ht="28" customHeight="1">
      <x:c r="A481" t="str">
        <x:v>NumericValue</x:v>
      </x:c>
      <x:c r="B481" t="str">
        <x:v>owner_id @ 3</x:v>
      </x:c>
      <x:c r="C481" t="str">
        <x:v>effect_m2_sp_line_base</x:v>
      </x:c>
      <x:c r="D481" t="str">
        <x:f>IF(COUNTIFS('Effect'!$A$2:$A$1001,'NumericValue'!B3)=1,"OK","ERROR")</x:f>
        <x:v>OK</x:v>
      </x:c>
    </x:row>
    <x:row r="482" ht="28" customHeight="1">
      <x:c r="A482" t="str">
        <x:v>NumericValue</x:v>
      </x:c>
      <x:c r="B482" t="str">
        <x:v>owner_id @ 4</x:v>
      </x:c>
      <x:c r="C482" t="str">
        <x:v>upgrade_m2_sp_line</x:v>
      </x:c>
      <x:c r="D482" t="str">
        <x:f>IF(COUNTIFS('Upgrade'!$A$2:$A$1001,'NumericValue'!B4)=1,"OK","ERROR")</x:f>
        <x:v>OK</x:v>
      </x:c>
    </x:row>
    <x:row r="483" ht="28" customHeight="1">
      <x:c r="A483" t="str">
        <x:v>NumericValue</x:v>
      </x:c>
      <x:c r="B483" t="str">
        <x:v>owner_id @ 5</x:v>
      </x:c>
      <x:c r="C483" t="str">
        <x:v>effect_m2_sp_pursuit_base</x:v>
      </x:c>
      <x:c r="D483" t="str">
        <x:f>IF(COUNTIFS('Effect'!$A$2:$A$1001,'NumericValue'!B5)=1,"OK","ERROR")</x:f>
        <x:v>OK</x:v>
      </x:c>
    </x:row>
    <x:row r="484" ht="28" customHeight="1">
      <x:c r="A484" t="str">
        <x:v>NumericValue</x:v>
      </x:c>
      <x:c r="B484" t="str">
        <x:v>owner_id @ 6</x:v>
      </x:c>
      <x:c r="C484" t="str">
        <x:v>effect_m2_sp_pursuit_base</x:v>
      </x:c>
      <x:c r="D484" t="str">
        <x:f>IF(COUNTIFS('Effect'!$A$2:$A$1001,'NumericValue'!B6)=1,"OK","ERROR")</x:f>
        <x:v>OK</x:v>
      </x:c>
    </x:row>
    <x:row r="485" ht="28" customHeight="1">
      <x:c r="A485" t="str">
        <x:v>NumericValue</x:v>
      </x:c>
      <x:c r="B485" t="str">
        <x:v>owner_id @ 7</x:v>
      </x:c>
      <x:c r="C485" t="str">
        <x:v>upgrade_m2_sp_pursuit</x:v>
      </x:c>
      <x:c r="D485" t="str">
        <x:f>IF(COUNTIFS('Upgrade'!$A$2:$A$1001,'NumericValue'!B7)=1,"OK","ERROR")</x:f>
        <x:v>OK</x:v>
      </x:c>
    </x:row>
    <x:row r="486" ht="28" customHeight="1">
      <x:c r="A486" t="str">
        <x:v>NumericValue</x:v>
      </x:c>
      <x:c r="B486" t="str">
        <x:v>owner_id @ 8</x:v>
      </x:c>
      <x:c r="C486" t="str">
        <x:v>effect_m2_hm_return_base</x:v>
      </x:c>
      <x:c r="D486" t="str">
        <x:f>IF(COUNTIFS('Effect'!$A$2:$A$1001,'NumericValue'!B8)=1,"OK","ERROR")</x:f>
        <x:v>OK</x:v>
      </x:c>
    </x:row>
    <x:row r="487" ht="28" customHeight="1">
      <x:c r="A487" t="str">
        <x:v>NumericValue</x:v>
      </x:c>
      <x:c r="B487" t="str">
        <x:v>owner_id @ 9</x:v>
      </x:c>
      <x:c r="C487" t="str">
        <x:v>effect_m2_hm_return_base</x:v>
      </x:c>
      <x:c r="D487" t="str">
        <x:f>IF(COUNTIFS('Effect'!$A$2:$A$1001,'NumericValue'!B9)=1,"OK","ERROR")</x:f>
        <x:v>OK</x:v>
      </x:c>
    </x:row>
    <x:row r="488" ht="28" customHeight="1">
      <x:c r="A488" t="str">
        <x:v>NumericValue</x:v>
      </x:c>
      <x:c r="B488" t="str">
        <x:v>owner_id @ 10</x:v>
      </x:c>
      <x:c r="C488" t="str">
        <x:v>effect_m2_hm_return_base</x:v>
      </x:c>
      <x:c r="D488" t="str">
        <x:f>IF(COUNTIFS('Effect'!$A$2:$A$1001,'NumericValue'!B10)=1,"OK","ERROR")</x:f>
        <x:v>OK</x:v>
      </x:c>
    </x:row>
    <x:row r="489" ht="28" customHeight="1">
      <x:c r="A489" t="str">
        <x:v>NumericValue</x:v>
      </x:c>
      <x:c r="B489" t="str">
        <x:v>owner_id @ 11</x:v>
      </x:c>
      <x:c r="C489" t="str">
        <x:v>effect_m2_hm_return_base</x:v>
      </x:c>
      <x:c r="D489" t="str">
        <x:f>IF(COUNTIFS('Effect'!$A$2:$A$1001,'NumericValue'!B11)=1,"OK","ERROR")</x:f>
        <x:v>OK</x:v>
      </x:c>
    </x:row>
    <x:row r="490" ht="28" customHeight="1">
      <x:c r="A490" t="str">
        <x:v>NumericValue</x:v>
      </x:c>
      <x:c r="B490" t="str">
        <x:v>owner_id @ 12</x:v>
      </x:c>
      <x:c r="C490" t="str">
        <x:v>upgrade_m2_hm_return</x:v>
      </x:c>
      <x:c r="D490" t="str">
        <x:f>IF(COUNTIFS('Upgrade'!$A$2:$A$1001,'NumericValue'!B12)=1,"OK","ERROR")</x:f>
        <x:v>OK</x:v>
      </x:c>
    </x:row>
    <x:row r="491" ht="28" customHeight="1">
      <x:c r="A491" t="str">
        <x:v>NumericValue</x:v>
      </x:c>
      <x:c r="B491" t="str">
        <x:v>owner_id @ 13</x:v>
      </x:c>
      <x:c r="C491" t="str">
        <x:v>effect_m2_hm_impact_base</x:v>
      </x:c>
      <x:c r="D491" t="str">
        <x:f>IF(COUNTIFS('Effect'!$A$2:$A$1001,'NumericValue'!B13)=1,"OK","ERROR")</x:f>
        <x:v>OK</x:v>
      </x:c>
    </x:row>
    <x:row r="492" ht="28" customHeight="1">
      <x:c r="A492" t="str">
        <x:v>NumericValue</x:v>
      </x:c>
      <x:c r="B492" t="str">
        <x:v>owner_id @ 14</x:v>
      </x:c>
      <x:c r="C492" t="str">
        <x:v>effect_m2_hm_impact_base</x:v>
      </x:c>
      <x:c r="D492" t="str">
        <x:f>IF(COUNTIFS('Effect'!$A$2:$A$1001,'NumericValue'!B14)=1,"OK","ERROR")</x:f>
        <x:v>OK</x:v>
      </x:c>
    </x:row>
    <x:row r="493" ht="28" customHeight="1">
      <x:c r="A493" t="str">
        <x:v>NumericValue</x:v>
      </x:c>
      <x:c r="B493" t="str">
        <x:v>owner_id @ 15</x:v>
      </x:c>
      <x:c r="C493" t="str">
        <x:v>upgrade_m2_hm_impact</x:v>
      </x:c>
      <x:c r="D493" t="str">
        <x:f>IF(COUNTIFS('Upgrade'!$A$2:$A$1001,'NumericValue'!B15)=1,"OK","ERROR")</x:f>
        <x:v>OK</x:v>
      </x:c>
    </x:row>
    <x:row r="494" ht="28" customHeight="1">
      <x:c r="A494" t="str">
        <x:v>NumericValue</x:v>
      </x:c>
      <x:c r="B494" t="str">
        <x:v>owner_id @ 16</x:v>
      </x:c>
      <x:c r="C494" t="str">
        <x:v>effect_m2_gs_seal_base</x:v>
      </x:c>
      <x:c r="D494" t="str">
        <x:f>IF(COUNTIFS('Effect'!$A$2:$A$1001,'NumericValue'!B16)=1,"OK","ERROR")</x:f>
        <x:v>OK</x:v>
      </x:c>
    </x:row>
    <x:row r="495" ht="28" customHeight="1">
      <x:c r="A495" t="str">
        <x:v>NumericValue</x:v>
      </x:c>
      <x:c r="B495" t="str">
        <x:v>owner_id @ 17</x:v>
      </x:c>
      <x:c r="C495" t="str">
        <x:v>effect_m2_gs_seal_base</x:v>
      </x:c>
      <x:c r="D495" t="str">
        <x:f>IF(COUNTIFS('Effect'!$A$2:$A$1001,'NumericValue'!B17)=1,"OK","ERROR")</x:f>
        <x:v>OK</x:v>
      </x:c>
    </x:row>
    <x:row r="496" ht="28" customHeight="1">
      <x:c r="A496" t="str">
        <x:v>NumericValue</x:v>
      </x:c>
      <x:c r="B496" t="str">
        <x:v>owner_id @ 18</x:v>
      </x:c>
      <x:c r="C496" t="str">
        <x:v>upgrade_m2_gs_seal</x:v>
      </x:c>
      <x:c r="D496" t="str">
        <x:f>IF(COUNTIFS('Upgrade'!$A$2:$A$1001,'NumericValue'!B18)=1,"OK","ERROR")</x:f>
        <x:v>OK</x:v>
      </x:c>
    </x:row>
    <x:row r="497" ht="28" customHeight="1">
      <x:c r="A497" t="str">
        <x:v>NumericValue</x:v>
      </x:c>
      <x:c r="B497" t="str">
        <x:v>owner_id @ 19</x:v>
      </x:c>
      <x:c r="C497" t="str">
        <x:v>effect_m2_dg_stalk_base</x:v>
      </x:c>
      <x:c r="D497" t="str">
        <x:f>IF(COUNTIFS('Effect'!$A$2:$A$1001,'NumericValue'!B19)=1,"OK","ERROR")</x:f>
        <x:v>OK</x:v>
      </x:c>
    </x:row>
    <x:row r="498" ht="28" customHeight="1">
      <x:c r="A498" t="str">
        <x:v>NumericValue</x:v>
      </x:c>
      <x:c r="B498" t="str">
        <x:v>owner_id @ 20</x:v>
      </x:c>
      <x:c r="C498" t="str">
        <x:v>effect_m2_dg_stalk_base</x:v>
      </x:c>
      <x:c r="D498" t="str">
        <x:f>IF(COUNTIFS('Effect'!$A$2:$A$1001,'NumericValue'!B20)=1,"OK","ERROR")</x:f>
        <x:v>OK</x:v>
      </x:c>
    </x:row>
    <x:row r="499" ht="28" customHeight="1">
      <x:c r="A499" t="str">
        <x:v>NumericValue</x:v>
      </x:c>
      <x:c r="B499" t="str">
        <x:v>owner_id @ 21</x:v>
      </x:c>
      <x:c r="C499" t="str">
        <x:v>effect_m2_dg_stalk_base</x:v>
      </x:c>
      <x:c r="D499" t="str">
        <x:f>IF(COUNTIFS('Effect'!$A$2:$A$1001,'NumericValue'!B21)=1,"OK","ERROR")</x:f>
        <x:v>OK</x:v>
      </x:c>
    </x:row>
    <x:row r="500" ht="28" customHeight="1">
      <x:c r="A500" t="str">
        <x:v>NumericValue</x:v>
      </x:c>
      <x:c r="B500" t="str">
        <x:v>owner_id @ 22</x:v>
      </x:c>
      <x:c r="C500" t="str">
        <x:v>upgrade_m2_dg_stalk</x:v>
      </x:c>
      <x:c r="D500" t="str">
        <x:f>IF(COUNTIFS('Upgrade'!$A$2:$A$1001,'NumericValue'!B22)=1,"OK","ERROR")</x:f>
        <x:v>OK</x:v>
      </x:c>
    </x:row>
    <x:row r="501" ht="28" customHeight="1">
      <x:c r="A501" t="str">
        <x:v>NumericValue</x:v>
      </x:c>
      <x:c r="B501" t="str">
        <x:v>owner_id @ 23</x:v>
      </x:c>
      <x:c r="C501" t="str">
        <x:v>effect_m2_ss_counter_base</x:v>
      </x:c>
      <x:c r="D501" t="str">
        <x:f>IF(COUNTIFS('Effect'!$A$2:$A$1001,'NumericValue'!B23)=1,"OK","ERROR")</x:f>
        <x:v>OK</x:v>
      </x:c>
    </x:row>
    <x:row r="502" ht="28" customHeight="1">
      <x:c r="A502" t="str">
        <x:v>NumericValue</x:v>
      </x:c>
      <x:c r="B502" t="str">
        <x:v>owner_id @ 24</x:v>
      </x:c>
      <x:c r="C502" t="str">
        <x:v>effect_m2_ss_counter_base</x:v>
      </x:c>
      <x:c r="D502" t="str">
        <x:f>IF(COUNTIFS('Effect'!$A$2:$A$1001,'NumericValue'!B24)=1,"OK","ERROR")</x:f>
        <x:v>OK</x:v>
      </x:c>
    </x:row>
    <x:row r="503" ht="28" customHeight="1">
      <x:c r="A503" t="str">
        <x:v>NumericValue</x:v>
      </x:c>
      <x:c r="B503" t="str">
        <x:v>owner_id @ 25</x:v>
      </x:c>
      <x:c r="C503" t="str">
        <x:v>upgrade_m2_ss_counter</x:v>
      </x:c>
      <x:c r="D503" t="str">
        <x:f>IF(COUNTIFS('Upgrade'!$A$2:$A$1001,'NumericValue'!B25)=1,"OK","ERROR")</x:f>
        <x:v>OK</x:v>
      </x:c>
    </x:row>
    <x:row r="504" ht="28" customHeight="1">
      <x:c r="A504" t="str">
        <x:v>NumericValue</x:v>
      </x:c>
      <x:c r="B504" t="str">
        <x:v>owner_id @ 26</x:v>
      </x:c>
      <x:c r="C504" t="str">
        <x:v>effect_m2_bw_aim_base</x:v>
      </x:c>
      <x:c r="D504" t="str">
        <x:f>IF(COUNTIFS('Effect'!$A$2:$A$1001,'NumericValue'!B26)=1,"OK","ERROR")</x:f>
        <x:v>OK</x:v>
      </x:c>
    </x:row>
    <x:row r="505" ht="28" customHeight="1">
      <x:c r="A505" t="str">
        <x:v>NumericValue</x:v>
      </x:c>
      <x:c r="B505" t="str">
        <x:v>owner_id @ 27</x:v>
      </x:c>
      <x:c r="C505" t="str">
        <x:v>effect_m2_bw_aim_base</x:v>
      </x:c>
      <x:c r="D505" t="str">
        <x:f>IF(COUNTIFS('Effect'!$A$2:$A$1001,'NumericValue'!B27)=1,"OK","ERROR")</x:f>
        <x:v>OK</x:v>
      </x:c>
    </x:row>
    <x:row r="506" ht="28" customHeight="1">
      <x:c r="A506" t="str">
        <x:v>NumericValue</x:v>
      </x:c>
      <x:c r="B506" t="str">
        <x:v>owner_id @ 28</x:v>
      </x:c>
      <x:c r="C506" t="str">
        <x:v>upgrade_m2_bw_aim</x:v>
      </x:c>
      <x:c r="D506" t="str">
        <x:f>IF(COUNTIFS('Upgrade'!$A$2:$A$1001,'NumericValue'!B28)=1,"OK","ERROR")</x:f>
        <x:v>OK</x:v>
      </x:c>
    </x:row>
    <x:row r="507" ht="28" customHeight="1">
      <x:c r="A507" t="str">
        <x:v>NumericValue</x:v>
      </x:c>
      <x:c r="B507" t="str">
        <x:v>owner_id @ 29</x:v>
      </x:c>
      <x:c r="C507" t="str">
        <x:v>effect_m2_bw_move_base</x:v>
      </x:c>
      <x:c r="D507" t="str">
        <x:f>IF(COUNTIFS('Effect'!$A$2:$A$1001,'NumericValue'!B29)=1,"OK","ERROR")</x:f>
        <x:v>OK</x:v>
      </x:c>
    </x:row>
    <x:row r="508" ht="28" customHeight="1">
      <x:c r="A508" t="str">
        <x:v>NumericValue</x:v>
      </x:c>
      <x:c r="B508" t="str">
        <x:v>owner_id @ 30</x:v>
      </x:c>
      <x:c r="C508" t="str">
        <x:v>effect_m2_bw_move_base</x:v>
      </x:c>
      <x:c r="D508" t="str">
        <x:f>IF(COUNTIFS('Effect'!$A$2:$A$1001,'NumericValue'!B30)=1,"OK","ERROR")</x:f>
        <x:v>OK</x:v>
      </x:c>
    </x:row>
    <x:row r="509" ht="28" customHeight="1">
      <x:c r="A509" t="str">
        <x:v>NumericValue</x:v>
      </x:c>
      <x:c r="B509" t="str">
        <x:v>owner_id @ 31</x:v>
      </x:c>
      <x:c r="C509" t="str">
        <x:v>upgrade_m2_bw_move</x:v>
      </x:c>
      <x:c r="D509" t="str">
        <x:f>IF(COUNTIFS('Upgrade'!$A$2:$A$1001,'NumericValue'!B31)=1,"OK","ERROR")</x:f>
        <x:v>OK</x:v>
      </x:c>
    </x:row>
    <x:row r="510" ht="28" customHeight="1">
      <x:c r="A510" t="str">
        <x:v>NumericValue</x:v>
      </x:c>
      <x:c r="B510" t="str">
        <x:v>owner_id @ 32</x:v>
      </x:c>
      <x:c r="C510" t="str">
        <x:v>effect_m2_st_cadence_base</x:v>
      </x:c>
      <x:c r="D510" t="str">
        <x:f>IF(COUNTIFS('Effect'!$A$2:$A$1001,'NumericValue'!B32)=1,"OK","ERROR")</x:f>
        <x:v>OK</x:v>
      </x:c>
    </x:row>
    <x:row r="511" ht="28" customHeight="1">
      <x:c r="A511" t="str">
        <x:v>NumericValue</x:v>
      </x:c>
      <x:c r="B511" t="str">
        <x:v>owner_id @ 33</x:v>
      </x:c>
      <x:c r="C511" t="str">
        <x:v>effect_m2_st_cadence_base</x:v>
      </x:c>
      <x:c r="D511" t="str">
        <x:f>IF(COUNTIFS('Effect'!$A$2:$A$1001,'NumericValue'!B33)=1,"OK","ERROR")</x:f>
        <x:v>OK</x:v>
      </x:c>
    </x:row>
    <x:row r="512" ht="28" customHeight="1">
      <x:c r="A512" t="str">
        <x:v>NumericValue</x:v>
      </x:c>
      <x:c r="B512" t="str">
        <x:v>owner_id @ 34</x:v>
      </x:c>
      <x:c r="C512" t="str">
        <x:v>upgrade_m2_st_cadence</x:v>
      </x:c>
      <x:c r="D512" t="str">
        <x:f>IF(COUNTIFS('Upgrade'!$A$2:$A$1001,'NumericValue'!B34)=1,"OK","ERROR")</x:f>
        <x:v>OK</x:v>
      </x:c>
    </x:row>
    <x:row r="513" ht="28" customHeight="1">
      <x:c r="A513" t="str">
        <x:v>NumericValue</x:v>
      </x:c>
      <x:c r="B513" t="str">
        <x:v>owner_id @ 35</x:v>
      </x:c>
      <x:c r="C513" t="str">
        <x:v>effect_m3_zeu_sp_base</x:v>
      </x:c>
      <x:c r="D513" t="str">
        <x:f>IF(COUNTIFS('Effect'!$A$2:$A$1001,'NumericValue'!B35)=1,"OK","ERROR")</x:f>
        <x:v>OK</x:v>
      </x:c>
    </x:row>
    <x:row r="514" ht="28" customHeight="1">
      <x:c r="A514" t="str">
        <x:v>NumericValue</x:v>
      </x:c>
      <x:c r="B514" t="str">
        <x:v>owner_id @ 36</x:v>
      </x:c>
      <x:c r="C514" t="str">
        <x:v>effect_m3_zeu_sp_base</x:v>
      </x:c>
      <x:c r="D514" t="str">
        <x:f>IF(COUNTIFS('Effect'!$A$2:$A$1001,'NumericValue'!B36)=1,"OK","ERROR")</x:f>
        <x:v>OK</x:v>
      </x:c>
    </x:row>
    <x:row r="515" ht="28" customHeight="1">
      <x:c r="A515" t="str">
        <x:v>NumericValue</x:v>
      </x:c>
      <x:c r="B515" t="str">
        <x:v>owner_id @ 37</x:v>
      </x:c>
      <x:c r="C515" t="str">
        <x:v>effect_m3_zeu_sp_resonance</x:v>
      </x:c>
      <x:c r="D515" t="str">
        <x:f>IF(COUNTIFS('Effect'!$A$2:$A$1001,'NumericValue'!B37)=1,"OK","ERROR")</x:f>
        <x:v>OK</x:v>
      </x:c>
    </x:row>
    <x:row r="516" ht="28" customHeight="1">
      <x:c r="A516" t="str">
        <x:v>NumericValue</x:v>
      </x:c>
      <x:c r="B516" t="str">
        <x:v>owner_id @ 38</x:v>
      </x:c>
      <x:c r="C516" t="str">
        <x:v>effect_m3_zeu_sp_resonance</x:v>
      </x:c>
      <x:c r="D516" t="str">
        <x:f>IF(COUNTIFS('Effect'!$A$2:$A$1001,'NumericValue'!B38)=1,"OK","ERROR")</x:f>
        <x:v>OK</x:v>
      </x:c>
    </x:row>
    <x:row r="517" ht="28" customHeight="1">
      <x:c r="A517" t="str">
        <x:v>NumericValue</x:v>
      </x:c>
      <x:c r="B517" t="str">
        <x:v>owner_id @ 39</x:v>
      </x:c>
      <x:c r="C517" t="str">
        <x:v>effect_m3_zeu_sp_resonance</x:v>
      </x:c>
      <x:c r="D517" t="str">
        <x:f>IF(COUNTIFS('Effect'!$A$2:$A$1001,'NumericValue'!B39)=1,"OK","ERROR")</x:f>
        <x:v>OK</x:v>
      </x:c>
    </x:row>
    <x:row r="518" ht="28" customHeight="1">
      <x:c r="A518" t="str">
        <x:v>NumericValue</x:v>
      </x:c>
      <x:c r="B518" t="str">
        <x:v>owner_id @ 40</x:v>
      </x:c>
      <x:c r="C518" t="str">
        <x:v>upgrade_m3_zeu_sp</x:v>
      </x:c>
      <x:c r="D518" t="str">
        <x:f>IF(COUNTIFS('Upgrade'!$A$2:$A$1001,'NumericValue'!B40)=1,"OK","ERROR")</x:f>
        <x:v>OK</x:v>
      </x:c>
    </x:row>
    <x:row r="519" ht="28" customHeight="1">
      <x:c r="A519" t="str">
        <x:v>NumericValue</x:v>
      </x:c>
      <x:c r="B519" t="str">
        <x:v>owner_id @ 41</x:v>
      </x:c>
      <x:c r="C519" t="str">
        <x:v>effect_m3_zeu_hm_base</x:v>
      </x:c>
      <x:c r="D519" t="str">
        <x:f>IF(COUNTIFS('Effect'!$A$2:$A$1001,'NumericValue'!B41)=1,"OK","ERROR")</x:f>
        <x:v>OK</x:v>
      </x:c>
    </x:row>
    <x:row r="520" ht="28" customHeight="1">
      <x:c r="A520" t="str">
        <x:v>NumericValue</x:v>
      </x:c>
      <x:c r="B520" t="str">
        <x:v>owner_id @ 42</x:v>
      </x:c>
      <x:c r="C520" t="str">
        <x:v>effect_m3_zeu_hm_base</x:v>
      </x:c>
      <x:c r="D520" t="str">
        <x:f>IF(COUNTIFS('Effect'!$A$2:$A$1001,'NumericValue'!B42)=1,"OK","ERROR")</x:f>
        <x:v>OK</x:v>
      </x:c>
    </x:row>
    <x:row r="521" ht="28" customHeight="1">
      <x:c r="A521" t="str">
        <x:v>NumericValue</x:v>
      </x:c>
      <x:c r="B521" t="str">
        <x:v>owner_id @ 43</x:v>
      </x:c>
      <x:c r="C521" t="str">
        <x:v>effect_m3_zeu_hm_resonance</x:v>
      </x:c>
      <x:c r="D521" t="str">
        <x:f>IF(COUNTIFS('Effect'!$A$2:$A$1001,'NumericValue'!B43)=1,"OK","ERROR")</x:f>
        <x:v>OK</x:v>
      </x:c>
    </x:row>
    <x:row r="522" ht="28" customHeight="1">
      <x:c r="A522" t="str">
        <x:v>NumericValue</x:v>
      </x:c>
      <x:c r="B522" t="str">
        <x:v>owner_id @ 44</x:v>
      </x:c>
      <x:c r="C522" t="str">
        <x:v>effect_m3_zeu_hm_resonance</x:v>
      </x:c>
      <x:c r="D522" t="str">
        <x:f>IF(COUNTIFS('Effect'!$A$2:$A$1001,'NumericValue'!B44)=1,"OK","ERROR")</x:f>
        <x:v>OK</x:v>
      </x:c>
    </x:row>
    <x:row r="523" ht="28" customHeight="1">
      <x:c r="A523" t="str">
        <x:v>NumericValue</x:v>
      </x:c>
      <x:c r="B523" t="str">
        <x:v>owner_id @ 45</x:v>
      </x:c>
      <x:c r="C523" t="str">
        <x:v>upgrade_m3_zeu_hm</x:v>
      </x:c>
      <x:c r="D523" t="str">
        <x:f>IF(COUNTIFS('Upgrade'!$A$2:$A$1001,'NumericValue'!B45)=1,"OK","ERROR")</x:f>
        <x:v>OK</x:v>
      </x:c>
    </x:row>
    <x:row r="524" ht="28" customHeight="1">
      <x:c r="A524" t="str">
        <x:v>NumericValue</x:v>
      </x:c>
      <x:c r="B524" t="str">
        <x:v>owner_id @ 46</x:v>
      </x:c>
      <x:c r="C524" t="str">
        <x:v>effect_m3_zeu_ss_base</x:v>
      </x:c>
      <x:c r="D524" t="str">
        <x:f>IF(COUNTIFS('Effect'!$A$2:$A$1001,'NumericValue'!B46)=1,"OK","ERROR")</x:f>
        <x:v>OK</x:v>
      </x:c>
    </x:row>
    <x:row r="525" ht="28" customHeight="1">
      <x:c r="A525" t="str">
        <x:v>NumericValue</x:v>
      </x:c>
      <x:c r="B525" t="str">
        <x:v>owner_id @ 47</x:v>
      </x:c>
      <x:c r="C525" t="str">
        <x:v>effect_m3_zeu_ss_base</x:v>
      </x:c>
      <x:c r="D525" t="str">
        <x:f>IF(COUNTIFS('Effect'!$A$2:$A$1001,'NumericValue'!B47)=1,"OK","ERROR")</x:f>
        <x:v>OK</x:v>
      </x:c>
    </x:row>
    <x:row r="526" ht="28" customHeight="1">
      <x:c r="A526" t="str">
        <x:v>NumericValue</x:v>
      </x:c>
      <x:c r="B526" t="str">
        <x:v>owner_id @ 48</x:v>
      </x:c>
      <x:c r="C526" t="str">
        <x:v>effect_m3_zeu_ss_resonance</x:v>
      </x:c>
      <x:c r="D526" t="str">
        <x:f>IF(COUNTIFS('Effect'!$A$2:$A$1001,'NumericValue'!B48)=1,"OK","ERROR")</x:f>
        <x:v>OK</x:v>
      </x:c>
    </x:row>
    <x:row r="527" ht="28" customHeight="1">
      <x:c r="A527" t="str">
        <x:v>NumericValue</x:v>
      </x:c>
      <x:c r="B527" t="str">
        <x:v>owner_id @ 49</x:v>
      </x:c>
      <x:c r="C527" t="str">
        <x:v>effect_m3_zeu_ss_resonance</x:v>
      </x:c>
      <x:c r="D527" t="str">
        <x:f>IF(COUNTIFS('Effect'!$A$2:$A$1001,'NumericValue'!B49)=1,"OK","ERROR")</x:f>
        <x:v>OK</x:v>
      </x:c>
    </x:row>
    <x:row r="528" ht="28" customHeight="1">
      <x:c r="A528" t="str">
        <x:v>NumericValue</x:v>
      </x:c>
      <x:c r="B528" t="str">
        <x:v>owner_id @ 50</x:v>
      </x:c>
      <x:c r="C528" t="str">
        <x:v>upgrade_m3_zeu_ss</x:v>
      </x:c>
      <x:c r="D528" t="str">
        <x:f>IF(COUNTIFS('Upgrade'!$A$2:$A$1001,'NumericValue'!B50)=1,"OK","ERROR")</x:f>
        <x:v>OK</x:v>
      </x:c>
    </x:row>
    <x:row r="529" ht="28" customHeight="1">
      <x:c r="A529" t="str">
        <x:v>NumericValue</x:v>
      </x:c>
      <x:c r="B529" t="str">
        <x:v>owner_id @ 51</x:v>
      </x:c>
      <x:c r="C529" t="str">
        <x:v>effect_m3_tho_hm_r_base</x:v>
      </x:c>
      <x:c r="D529" t="str">
        <x:f>IF(COUNTIFS('Effect'!$A$2:$A$1001,'NumericValue'!B51)=1,"OK","ERROR")</x:f>
        <x:v>OK</x:v>
      </x:c>
    </x:row>
    <x:row r="530" ht="28" customHeight="1">
      <x:c r="A530" t="str">
        <x:v>NumericValue</x:v>
      </x:c>
      <x:c r="B530" t="str">
        <x:v>owner_id @ 52</x:v>
      </x:c>
      <x:c r="C530" t="str">
        <x:v>effect_m3_tho_hm_r_base</x:v>
      </x:c>
      <x:c r="D530" t="str">
        <x:f>IF(COUNTIFS('Effect'!$A$2:$A$1001,'NumericValue'!B52)=1,"OK","ERROR")</x:f>
        <x:v>OK</x:v>
      </x:c>
    </x:row>
    <x:row r="531" ht="28" customHeight="1">
      <x:c r="A531" t="str">
        <x:v>NumericValue</x:v>
      </x:c>
      <x:c r="B531" t="str">
        <x:v>owner_id @ 53</x:v>
      </x:c>
      <x:c r="C531" t="str">
        <x:v>effect_m3_tho_hm_r_base</x:v>
      </x:c>
      <x:c r="D531" t="str">
        <x:f>IF(COUNTIFS('Effect'!$A$2:$A$1001,'NumericValue'!B53)=1,"OK","ERROR")</x:f>
        <x:v>OK</x:v>
      </x:c>
    </x:row>
    <x:row r="532" ht="28" customHeight="1">
      <x:c r="A532" t="str">
        <x:v>NumericValue</x:v>
      </x:c>
      <x:c r="B532" t="str">
        <x:v>owner_id @ 54</x:v>
      </x:c>
      <x:c r="C532" t="str">
        <x:v>effect_m3_tho_hm_r_base</x:v>
      </x:c>
      <x:c r="D532" t="str">
        <x:f>IF(COUNTIFS('Effect'!$A$2:$A$1001,'NumericValue'!B54)=1,"OK","ERROR")</x:f>
        <x:v>OK</x:v>
      </x:c>
    </x:row>
    <x:row r="533" ht="28" customHeight="1">
      <x:c r="A533" t="str">
        <x:v>NumericValue</x:v>
      </x:c>
      <x:c r="B533" t="str">
        <x:v>owner_id @ 55</x:v>
      </x:c>
      <x:c r="C533" t="str">
        <x:v>effect_m3_tho_hm_r_resonance</x:v>
      </x:c>
      <x:c r="D533" t="str">
        <x:f>IF(COUNTIFS('Effect'!$A$2:$A$1001,'NumericValue'!B55)=1,"OK","ERROR")</x:f>
        <x:v>OK</x:v>
      </x:c>
    </x:row>
    <x:row r="534" ht="28" customHeight="1">
      <x:c r="A534" t="str">
        <x:v>NumericValue</x:v>
      </x:c>
      <x:c r="B534" t="str">
        <x:v>owner_id @ 56</x:v>
      </x:c>
      <x:c r="C534" t="str">
        <x:v>effect_m3_tho_hm_r_resonance</x:v>
      </x:c>
      <x:c r="D534" t="str">
        <x:f>IF(COUNTIFS('Effect'!$A$2:$A$1001,'NumericValue'!B56)=1,"OK","ERROR")</x:f>
        <x:v>OK</x:v>
      </x:c>
    </x:row>
    <x:row r="535" ht="28" customHeight="1">
      <x:c r="A535" t="str">
        <x:v>NumericValue</x:v>
      </x:c>
      <x:c r="B535" t="str">
        <x:v>owner_id @ 57</x:v>
      </x:c>
      <x:c r="C535" t="str">
        <x:v>effect_m3_tho_hm_r_resonance</x:v>
      </x:c>
      <x:c r="D535" t="str">
        <x:f>IF(COUNTIFS('Effect'!$A$2:$A$1001,'NumericValue'!B57)=1,"OK","ERROR")</x:f>
        <x:v>OK</x:v>
      </x:c>
    </x:row>
    <x:row r="536" ht="28" customHeight="1">
      <x:c r="A536" t="str">
        <x:v>NumericValue</x:v>
      </x:c>
      <x:c r="B536" t="str">
        <x:v>owner_id @ 58</x:v>
      </x:c>
      <x:c r="C536" t="str">
        <x:v>upgrade_m3_tho_hm_r</x:v>
      </x:c>
      <x:c r="D536" t="str">
        <x:f>IF(COUNTIFS('Upgrade'!$A$2:$A$1001,'NumericValue'!B58)=1,"OK","ERROR")</x:f>
        <x:v>OK</x:v>
      </x:c>
    </x:row>
    <x:row r="537" ht="28" customHeight="1">
      <x:c r="A537" t="str">
        <x:v>NumericValue</x:v>
      </x:c>
      <x:c r="B537" t="str">
        <x:v>owner_id @ 59</x:v>
      </x:c>
      <x:c r="C537" t="str">
        <x:v>effect_m3_tho_hm_i_base</x:v>
      </x:c>
      <x:c r="D537" t="str">
        <x:f>IF(COUNTIFS('Effect'!$A$2:$A$1001,'NumericValue'!B59)=1,"OK","ERROR")</x:f>
        <x:v>OK</x:v>
      </x:c>
    </x:row>
    <x:row r="538" ht="28" customHeight="1">
      <x:c r="A538" t="str">
        <x:v>NumericValue</x:v>
      </x:c>
      <x:c r="B538" t="str">
        <x:v>owner_id @ 60</x:v>
      </x:c>
      <x:c r="C538" t="str">
        <x:v>effect_m3_tho_hm_i_base</x:v>
      </x:c>
      <x:c r="D538" t="str">
        <x:f>IF(COUNTIFS('Effect'!$A$2:$A$1001,'NumericValue'!B60)=1,"OK","ERROR")</x:f>
        <x:v>OK</x:v>
      </x:c>
    </x:row>
    <x:row r="539" ht="28" customHeight="1">
      <x:c r="A539" t="str">
        <x:v>NumericValue</x:v>
      </x:c>
      <x:c r="B539" t="str">
        <x:v>owner_id @ 61</x:v>
      </x:c>
      <x:c r="C539" t="str">
        <x:v>effect_m3_tho_hm_i_resonance</x:v>
      </x:c>
      <x:c r="D539" t="str">
        <x:f>IF(COUNTIFS('Effect'!$A$2:$A$1001,'NumericValue'!B61)=1,"OK","ERROR")</x:f>
        <x:v>OK</x:v>
      </x:c>
    </x:row>
    <x:row r="540" ht="28" customHeight="1">
      <x:c r="A540" t="str">
        <x:v>NumericValue</x:v>
      </x:c>
      <x:c r="B540" t="str">
        <x:v>owner_id @ 62</x:v>
      </x:c>
      <x:c r="C540" t="str">
        <x:v>effect_m3_tho_hm_i_resonance</x:v>
      </x:c>
      <x:c r="D540" t="str">
        <x:f>IF(COUNTIFS('Effect'!$A$2:$A$1001,'NumericValue'!B62)=1,"OK","ERROR")</x:f>
        <x:v>OK</x:v>
      </x:c>
    </x:row>
    <x:row r="541" ht="28" customHeight="1">
      <x:c r="A541" t="str">
        <x:v>NumericValue</x:v>
      </x:c>
      <x:c r="B541" t="str">
        <x:v>owner_id @ 63</x:v>
      </x:c>
      <x:c r="C541" t="str">
        <x:v>upgrade_m3_tho_hm_i</x:v>
      </x:c>
      <x:c r="D541" t="str">
        <x:f>IF(COUNTIFS('Upgrade'!$A$2:$A$1001,'NumericValue'!B63)=1,"OK","ERROR")</x:f>
        <x:v>OK</x:v>
      </x:c>
    </x:row>
    <x:row r="542" ht="28" customHeight="1">
      <x:c r="A542" t="str">
        <x:v>NumericValue</x:v>
      </x:c>
      <x:c r="B542" t="str">
        <x:v>owner_id @ 64</x:v>
      </x:c>
      <x:c r="C542" t="str">
        <x:v>effect_m3_apo_sp_base</x:v>
      </x:c>
      <x:c r="D542" t="str">
        <x:f>IF(COUNTIFS('Effect'!$A$2:$A$1001,'NumericValue'!B64)=1,"OK","ERROR")</x:f>
        <x:v>OK</x:v>
      </x:c>
    </x:row>
    <x:row r="543" ht="28" customHeight="1">
      <x:c r="A543" t="str">
        <x:v>NumericValue</x:v>
      </x:c>
      <x:c r="B543" t="str">
        <x:v>owner_id @ 65</x:v>
      </x:c>
      <x:c r="C543" t="str">
        <x:v>effect_m3_apo_sp_base</x:v>
      </x:c>
      <x:c r="D543" t="str">
        <x:f>IF(COUNTIFS('Effect'!$A$2:$A$1001,'NumericValue'!B65)=1,"OK","ERROR")</x:f>
        <x:v>OK</x:v>
      </x:c>
    </x:row>
    <x:row r="544" ht="28" customHeight="1">
      <x:c r="A544" t="str">
        <x:v>NumericValue</x:v>
      </x:c>
      <x:c r="B544" t="str">
        <x:v>owner_id @ 66</x:v>
      </x:c>
      <x:c r="C544" t="str">
        <x:v>effect_m3_apo_sp_resonance</x:v>
      </x:c>
      <x:c r="D544" t="str">
        <x:f>IF(COUNTIFS('Effect'!$A$2:$A$1001,'NumericValue'!B66)=1,"OK","ERROR")</x:f>
        <x:v>OK</x:v>
      </x:c>
    </x:row>
    <x:row r="545" ht="28" customHeight="1">
      <x:c r="A545" t="str">
        <x:v>NumericValue</x:v>
      </x:c>
      <x:c r="B545" t="str">
        <x:v>owner_id @ 67</x:v>
      </x:c>
      <x:c r="C545" t="str">
        <x:v>effect_m3_apo_sp_resonance</x:v>
      </x:c>
      <x:c r="D545" t="str">
        <x:f>IF(COUNTIFS('Effect'!$A$2:$A$1001,'NumericValue'!B67)=1,"OK","ERROR")</x:f>
        <x:v>OK</x:v>
      </x:c>
    </x:row>
    <x:row r="546" ht="28" customHeight="1">
      <x:c r="A546" t="str">
        <x:v>NumericValue</x:v>
      </x:c>
      <x:c r="B546" t="str">
        <x:v>owner_id @ 68</x:v>
      </x:c>
      <x:c r="C546" t="str">
        <x:v>effect_m3_apo_sp_resonance</x:v>
      </x:c>
      <x:c r="D546" t="str">
        <x:f>IF(COUNTIFS('Effect'!$A$2:$A$1001,'NumericValue'!B68)=1,"OK","ERROR")</x:f>
        <x:v>OK</x:v>
      </x:c>
    </x:row>
    <x:row r="547" ht="28" customHeight="1">
      <x:c r="A547" t="str">
        <x:v>NumericValue</x:v>
      </x:c>
      <x:c r="B547" t="str">
        <x:v>owner_id @ 69</x:v>
      </x:c>
      <x:c r="C547" t="str">
        <x:v>upgrade_m3_apo_sp</x:v>
      </x:c>
      <x:c r="D547" t="str">
        <x:f>IF(COUNTIFS('Upgrade'!$A$2:$A$1001,'NumericValue'!B69)=1,"OK","ERROR")</x:f>
        <x:v>OK</x:v>
      </x:c>
    </x:row>
    <x:row r="548" ht="28" customHeight="1">
      <x:c r="A548" t="str">
        <x:v>NumericValue</x:v>
      </x:c>
      <x:c r="B548" t="str">
        <x:v>owner_id @ 70</x:v>
      </x:c>
      <x:c r="C548" t="str">
        <x:v>effect_m3_apo_bw_base</x:v>
      </x:c>
      <x:c r="D548" t="str">
        <x:f>IF(COUNTIFS('Effect'!$A$2:$A$1001,'NumericValue'!B70)=1,"OK","ERROR")</x:f>
        <x:v>OK</x:v>
      </x:c>
    </x:row>
    <x:row r="549" ht="28" customHeight="1">
      <x:c r="A549" t="str">
        <x:v>NumericValue</x:v>
      </x:c>
      <x:c r="B549" t="str">
        <x:v>owner_id @ 71</x:v>
      </x:c>
      <x:c r="C549" t="str">
        <x:v>effect_m3_apo_bw_base</x:v>
      </x:c>
      <x:c r="D549" t="str">
        <x:f>IF(COUNTIFS('Effect'!$A$2:$A$1001,'NumericValue'!B71)=1,"OK","ERROR")</x:f>
        <x:v>OK</x:v>
      </x:c>
    </x:row>
    <x:row r="550" ht="28" customHeight="1">
      <x:c r="A550" t="str">
        <x:v>NumericValue</x:v>
      </x:c>
      <x:c r="B550" t="str">
        <x:v>owner_id @ 72</x:v>
      </x:c>
      <x:c r="C550" t="str">
        <x:v>effect_m3_apo_bw_resonance</x:v>
      </x:c>
      <x:c r="D550" t="str">
        <x:f>IF(COUNTIFS('Effect'!$A$2:$A$1001,'NumericValue'!B72)=1,"OK","ERROR")</x:f>
        <x:v>OK</x:v>
      </x:c>
    </x:row>
    <x:row r="551" ht="28" customHeight="1">
      <x:c r="A551" t="str">
        <x:v>NumericValue</x:v>
      </x:c>
      <x:c r="B551" t="str">
        <x:v>owner_id @ 73</x:v>
      </x:c>
      <x:c r="C551" t="str">
        <x:v>effect_m3_apo_bw_resonance</x:v>
      </x:c>
      <x:c r="D551" t="str">
        <x:f>IF(COUNTIFS('Effect'!$A$2:$A$1001,'NumericValue'!B73)=1,"OK","ERROR")</x:f>
        <x:v>OK</x:v>
      </x:c>
    </x:row>
    <x:row r="552" ht="28" customHeight="1">
      <x:c r="A552" t="str">
        <x:v>NumericValue</x:v>
      </x:c>
      <x:c r="B552" t="str">
        <x:v>owner_id @ 74</x:v>
      </x:c>
      <x:c r="C552" t="str">
        <x:v>upgrade_m3_apo_bw</x:v>
      </x:c>
      <x:c r="D552" t="str">
        <x:f>IF(COUNTIFS('Upgrade'!$A$2:$A$1001,'NumericValue'!B74)=1,"OK","ERROR")</x:f>
        <x:v>OK</x:v>
      </x:c>
    </x:row>
    <x:row r="553" ht="28" customHeight="1">
      <x:c r="A553" t="str">
        <x:v>NumericValue</x:v>
      </x:c>
      <x:c r="B553" t="str">
        <x:v>owner_id @ 75</x:v>
      </x:c>
      <x:c r="C553" t="str">
        <x:v>effect_m3_apo_st_base</x:v>
      </x:c>
      <x:c r="D553" t="str">
        <x:f>IF(COUNTIFS('Effect'!$A$2:$A$1001,'NumericValue'!B75)=1,"OK","ERROR")</x:f>
        <x:v>OK</x:v>
      </x:c>
    </x:row>
    <x:row r="554" ht="28" customHeight="1">
      <x:c r="A554" t="str">
        <x:v>NumericValue</x:v>
      </x:c>
      <x:c r="B554" t="str">
        <x:v>owner_id @ 76</x:v>
      </x:c>
      <x:c r="C554" t="str">
        <x:v>effect_m3_apo_st_base</x:v>
      </x:c>
      <x:c r="D554" t="str">
        <x:f>IF(COUNTIFS('Effect'!$A$2:$A$1001,'NumericValue'!B76)=1,"OK","ERROR")</x:f>
        <x:v>OK</x:v>
      </x:c>
    </x:row>
    <x:row r="555" ht="28" customHeight="1">
      <x:c r="A555" t="str">
        <x:v>NumericValue</x:v>
      </x:c>
      <x:c r="B555" t="str">
        <x:v>owner_id @ 77</x:v>
      </x:c>
      <x:c r="C555" t="str">
        <x:v>effect_m3_apo_st_resonance</x:v>
      </x:c>
      <x:c r="D555" t="str">
        <x:f>IF(COUNTIFS('Effect'!$A$2:$A$1001,'NumericValue'!B77)=1,"OK","ERROR")</x:f>
        <x:v>OK</x:v>
      </x:c>
    </x:row>
    <x:row r="556" ht="28" customHeight="1">
      <x:c r="A556" t="str">
        <x:v>NumericValue</x:v>
      </x:c>
      <x:c r="B556" t="str">
        <x:v>owner_id @ 78</x:v>
      </x:c>
      <x:c r="C556" t="str">
        <x:v>effect_m3_apo_st_resonance</x:v>
      </x:c>
      <x:c r="D556" t="str">
        <x:f>IF(COUNTIFS('Effect'!$A$2:$A$1001,'NumericValue'!B78)=1,"OK","ERROR")</x:f>
        <x:v>OK</x:v>
      </x:c>
    </x:row>
    <x:row r="557" ht="28" customHeight="1">
      <x:c r="A557" t="str">
        <x:v>NumericValue</x:v>
      </x:c>
      <x:c r="B557" t="str">
        <x:v>owner_id @ 79</x:v>
      </x:c>
      <x:c r="C557" t="str">
        <x:v>effect_m3_apo_st_resonance</x:v>
      </x:c>
      <x:c r="D557" t="str">
        <x:f>IF(COUNTIFS('Effect'!$A$2:$A$1001,'NumericValue'!B79)=1,"OK","ERROR")</x:f>
        <x:v>OK</x:v>
      </x:c>
    </x:row>
    <x:row r="558" ht="28" customHeight="1">
      <x:c r="A558" t="str">
        <x:v>NumericValue</x:v>
      </x:c>
      <x:c r="B558" t="str">
        <x:v>owner_id @ 80</x:v>
      </x:c>
      <x:c r="C558" t="str">
        <x:v>upgrade_m3_apo_st</x:v>
      </x:c>
      <x:c r="D558" t="str">
        <x:f>IF(COUNTIFS('Upgrade'!$A$2:$A$1001,'NumericValue'!B80)=1,"OK","ERROR")</x:f>
        <x:v>OK</x:v>
      </x:c>
    </x:row>
    <x:row r="559" ht="28" customHeight="1">
      <x:c r="A559" t="str">
        <x:v>NumericValue</x:v>
      </x:c>
      <x:c r="B559" t="str">
        <x:v>owner_id @ 81</x:v>
      </x:c>
      <x:c r="C559" t="str">
        <x:v>effect_m3_are_sp_base</x:v>
      </x:c>
      <x:c r="D559" t="str">
        <x:f>IF(COUNTIFS('Effect'!$A$2:$A$1001,'NumericValue'!B81)=1,"OK","ERROR")</x:f>
        <x:v>OK</x:v>
      </x:c>
    </x:row>
    <x:row r="560" ht="28" customHeight="1">
      <x:c r="A560" t="str">
        <x:v>NumericValue</x:v>
      </x:c>
      <x:c r="B560" t="str">
        <x:v>owner_id @ 82</x:v>
      </x:c>
      <x:c r="C560" t="str">
        <x:v>effect_m3_are_sp_base</x:v>
      </x:c>
      <x:c r="D560" t="str">
        <x:f>IF(COUNTIFS('Effect'!$A$2:$A$1001,'NumericValue'!B82)=1,"OK","ERROR")</x:f>
        <x:v>OK</x:v>
      </x:c>
    </x:row>
    <x:row r="561" ht="28" customHeight="1">
      <x:c r="A561" t="str">
        <x:v>NumericValue</x:v>
      </x:c>
      <x:c r="B561" t="str">
        <x:v>owner_id @ 83</x:v>
      </x:c>
      <x:c r="C561" t="str">
        <x:v>effect_m3_are_sp_resonance</x:v>
      </x:c>
      <x:c r="D561" t="str">
        <x:f>IF(COUNTIFS('Effect'!$A$2:$A$1001,'NumericValue'!B83)=1,"OK","ERROR")</x:f>
        <x:v>OK</x:v>
      </x:c>
    </x:row>
    <x:row r="562" ht="28" customHeight="1">
      <x:c r="A562" t="str">
        <x:v>NumericValue</x:v>
      </x:c>
      <x:c r="B562" t="str">
        <x:v>owner_id @ 84</x:v>
      </x:c>
      <x:c r="C562" t="str">
        <x:v>effect_m3_are_sp_resonance</x:v>
      </x:c>
      <x:c r="D562" t="str">
        <x:f>IF(COUNTIFS('Effect'!$A$2:$A$1001,'NumericValue'!B84)=1,"OK","ERROR")</x:f>
        <x:v>OK</x:v>
      </x:c>
    </x:row>
    <x:row r="563" ht="28" customHeight="1">
      <x:c r="A563" t="str">
        <x:v>NumericValue</x:v>
      </x:c>
      <x:c r="B563" t="str">
        <x:v>owner_id @ 85</x:v>
      </x:c>
      <x:c r="C563" t="str">
        <x:v>effect_m3_are_sp_resonance</x:v>
      </x:c>
      <x:c r="D563" t="str">
        <x:f>IF(COUNTIFS('Effect'!$A$2:$A$1001,'NumericValue'!B85)=1,"OK","ERROR")</x:f>
        <x:v>OK</x:v>
      </x:c>
    </x:row>
    <x:row r="564" ht="28" customHeight="1">
      <x:c r="A564" t="str">
        <x:v>NumericValue</x:v>
      </x:c>
      <x:c r="B564" t="str">
        <x:v>owner_id @ 86</x:v>
      </x:c>
      <x:c r="C564" t="str">
        <x:v>upgrade_m3_are_sp</x:v>
      </x:c>
      <x:c r="D564" t="str">
        <x:f>IF(COUNTIFS('Upgrade'!$A$2:$A$1001,'NumericValue'!B86)=1,"OK","ERROR")</x:f>
        <x:v>OK</x:v>
      </x:c>
    </x:row>
    <x:row r="565" ht="28" customHeight="1">
      <x:c r="A565" t="str">
        <x:v>NumericValue</x:v>
      </x:c>
      <x:c r="B565" t="str">
        <x:v>owner_id @ 87</x:v>
      </x:c>
      <x:c r="C565" t="str">
        <x:v>effect_m3_are_gs_base</x:v>
      </x:c>
      <x:c r="D565" t="str">
        <x:f>IF(COUNTIFS('Effect'!$A$2:$A$1001,'NumericValue'!B87)=1,"OK","ERROR")</x:f>
        <x:v>OK</x:v>
      </x:c>
    </x:row>
    <x:row r="566" ht="28" customHeight="1">
      <x:c r="A566" t="str">
        <x:v>NumericValue</x:v>
      </x:c>
      <x:c r="B566" t="str">
        <x:v>owner_id @ 88</x:v>
      </x:c>
      <x:c r="C566" t="str">
        <x:v>effect_m3_are_gs_base</x:v>
      </x:c>
      <x:c r="D566" t="str">
        <x:f>IF(COUNTIFS('Effect'!$A$2:$A$1001,'NumericValue'!B88)=1,"OK","ERROR")</x:f>
        <x:v>OK</x:v>
      </x:c>
    </x:row>
    <x:row r="567" ht="28" customHeight="1">
      <x:c r="A567" t="str">
        <x:v>NumericValue</x:v>
      </x:c>
      <x:c r="B567" t="str">
        <x:v>owner_id @ 89</x:v>
      </x:c>
      <x:c r="C567" t="str">
        <x:v>effect_m3_are_gs_resonance</x:v>
      </x:c>
      <x:c r="D567" t="str">
        <x:f>IF(COUNTIFS('Effect'!$A$2:$A$1001,'NumericValue'!B89)=1,"OK","ERROR")</x:f>
        <x:v>OK</x:v>
      </x:c>
    </x:row>
    <x:row r="568" ht="28" customHeight="1">
      <x:c r="A568" t="str">
        <x:v>NumericValue</x:v>
      </x:c>
      <x:c r="B568" t="str">
        <x:v>owner_id @ 90</x:v>
      </x:c>
      <x:c r="C568" t="str">
        <x:v>effect_m3_are_gs_resonance</x:v>
      </x:c>
      <x:c r="D568" t="str">
        <x:f>IF(COUNTIFS('Effect'!$A$2:$A$1001,'NumericValue'!B90)=1,"OK","ERROR")</x:f>
        <x:v>OK</x:v>
      </x:c>
    </x:row>
    <x:row r="569" ht="28" customHeight="1">
      <x:c r="A569" t="str">
        <x:v>NumericValue</x:v>
      </x:c>
      <x:c r="B569" t="str">
        <x:v>owner_id @ 91</x:v>
      </x:c>
      <x:c r="C569" t="str">
        <x:v>effect_m3_are_gs_resonance</x:v>
      </x:c>
      <x:c r="D569" t="str">
        <x:f>IF(COUNTIFS('Effect'!$A$2:$A$1001,'NumericValue'!B91)=1,"OK","ERROR")</x:f>
        <x:v>OK</x:v>
      </x:c>
    </x:row>
    <x:row r="570" ht="28" customHeight="1">
      <x:c r="A570" t="str">
        <x:v>NumericValue</x:v>
      </x:c>
      <x:c r="B570" t="str">
        <x:v>owner_id @ 92</x:v>
      </x:c>
      <x:c r="C570" t="str">
        <x:v>upgrade_m3_are_gs</x:v>
      </x:c>
      <x:c r="D570" t="str">
        <x:f>IF(COUNTIFS('Upgrade'!$A$2:$A$1001,'NumericValue'!B92)=1,"OK","ERROR")</x:f>
        <x:v>OK</x:v>
      </x:c>
    </x:row>
    <x:row r="571" ht="28" customHeight="1">
      <x:c r="A571" t="str">
        <x:v>NumericValue</x:v>
      </x:c>
      <x:c r="B571" t="str">
        <x:v>owner_id @ 93</x:v>
      </x:c>
      <x:c r="C571" t="str">
        <x:v>effect_m3_are_ss_base</x:v>
      </x:c>
      <x:c r="D571" t="str">
        <x:f>IF(COUNTIFS('Effect'!$A$2:$A$1001,'NumericValue'!B93)=1,"OK","ERROR")</x:f>
        <x:v>OK</x:v>
      </x:c>
    </x:row>
    <x:row r="572" ht="28" customHeight="1">
      <x:c r="A572" t="str">
        <x:v>NumericValue</x:v>
      </x:c>
      <x:c r="B572" t="str">
        <x:v>owner_id @ 94</x:v>
      </x:c>
      <x:c r="C572" t="str">
        <x:v>effect_m3_are_ss_base</x:v>
      </x:c>
      <x:c r="D572" t="str">
        <x:f>IF(COUNTIFS('Effect'!$A$2:$A$1001,'NumericValue'!B94)=1,"OK","ERROR")</x:f>
        <x:v>OK</x:v>
      </x:c>
    </x:row>
    <x:row r="573" ht="28" customHeight="1">
      <x:c r="A573" t="str">
        <x:v>NumericValue</x:v>
      </x:c>
      <x:c r="B573" t="str">
        <x:v>owner_id @ 95</x:v>
      </x:c>
      <x:c r="C573" t="str">
        <x:v>effect_m3_are_ss_resonance</x:v>
      </x:c>
      <x:c r="D573" t="str">
        <x:f>IF(COUNTIFS('Effect'!$A$2:$A$1001,'NumericValue'!B95)=1,"OK","ERROR")</x:f>
        <x:v>OK</x:v>
      </x:c>
    </x:row>
    <x:row r="574" ht="28" customHeight="1">
      <x:c r="A574" t="str">
        <x:v>NumericValue</x:v>
      </x:c>
      <x:c r="B574" t="str">
        <x:v>owner_id @ 96</x:v>
      </x:c>
      <x:c r="C574" t="str">
        <x:v>effect_m3_are_ss_resonance</x:v>
      </x:c>
      <x:c r="D574" t="str">
        <x:f>IF(COUNTIFS('Effect'!$A$2:$A$1001,'NumericValue'!B96)=1,"OK","ERROR")</x:f>
        <x:v>OK</x:v>
      </x:c>
    </x:row>
    <x:row r="575" ht="28" customHeight="1">
      <x:c r="A575" t="str">
        <x:v>NumericValue</x:v>
      </x:c>
      <x:c r="B575" t="str">
        <x:v>owner_id @ 97</x:v>
      </x:c>
      <x:c r="C575" t="str">
        <x:v>effect_m3_are_ss_resonance</x:v>
      </x:c>
      <x:c r="D575" t="str">
        <x:f>IF(COUNTIFS('Effect'!$A$2:$A$1001,'NumericValue'!B97)=1,"OK","ERROR")</x:f>
        <x:v>OK</x:v>
      </x:c>
    </x:row>
    <x:row r="576" ht="28" customHeight="1">
      <x:c r="A576" t="str">
        <x:v>NumericValue</x:v>
      </x:c>
      <x:c r="B576" t="str">
        <x:v>owner_id @ 98</x:v>
      </x:c>
      <x:c r="C576" t="str">
        <x:v>upgrade_m3_are_ss</x:v>
      </x:c>
      <x:c r="D576" t="str">
        <x:f>IF(COUNTIFS('Upgrade'!$A$2:$A$1001,'NumericValue'!B98)=1,"OK","ERROR")</x:f>
        <x:v>OK</x:v>
      </x:c>
    </x:row>
    <x:row r="577" ht="28" customHeight="1">
      <x:c r="A577" t="str">
        <x:v>NumericValue</x:v>
      </x:c>
      <x:c r="B577" t="str">
        <x:v>owner_id @ 99</x:v>
      </x:c>
      <x:c r="C577" t="str">
        <x:v>effect_m3_had_gs_base</x:v>
      </x:c>
      <x:c r="D577" t="str">
        <x:f>IF(COUNTIFS('Effect'!$A$2:$A$1001,'NumericValue'!B99)=1,"OK","ERROR")</x:f>
        <x:v>OK</x:v>
      </x:c>
    </x:row>
    <x:row r="578" ht="28" customHeight="1">
      <x:c r="A578" t="str">
        <x:v>NumericValue</x:v>
      </x:c>
      <x:c r="B578" t="str">
        <x:v>owner_id @ 100</x:v>
      </x:c>
      <x:c r="C578" t="str">
        <x:v>effect_m3_had_gs_base</x:v>
      </x:c>
      <x:c r="D578" t="str">
        <x:f>IF(COUNTIFS('Effect'!$A$2:$A$1001,'NumericValue'!B100)=1,"OK","ERROR")</x:f>
        <x:v>OK</x:v>
      </x:c>
    </x:row>
    <x:row r="579" ht="28" customHeight="1">
      <x:c r="A579" t="str">
        <x:v>NumericValue</x:v>
      </x:c>
      <x:c r="B579" t="str">
        <x:v>owner_id @ 101</x:v>
      </x:c>
      <x:c r="C579" t="str">
        <x:v>effect_m3_had_gs_resonance</x:v>
      </x:c>
      <x:c r="D579" t="str">
        <x:f>IF(COUNTIFS('Effect'!$A$2:$A$1001,'NumericValue'!B101)=1,"OK","ERROR")</x:f>
        <x:v>OK</x:v>
      </x:c>
    </x:row>
    <x:row r="580" ht="28" customHeight="1">
      <x:c r="A580" t="str">
        <x:v>NumericValue</x:v>
      </x:c>
      <x:c r="B580" t="str">
        <x:v>owner_id @ 102</x:v>
      </x:c>
      <x:c r="C580" t="str">
        <x:v>effect_m3_had_gs_resonance</x:v>
      </x:c>
      <x:c r="D580" t="str">
        <x:f>IF(COUNTIFS('Effect'!$A$2:$A$1001,'NumericValue'!B102)=1,"OK","ERROR")</x:f>
        <x:v>OK</x:v>
      </x:c>
    </x:row>
    <x:row r="581" ht="28" customHeight="1">
      <x:c r="A581" t="str">
        <x:v>NumericValue</x:v>
      </x:c>
      <x:c r="B581" t="str">
        <x:v>owner_id @ 103</x:v>
      </x:c>
      <x:c r="C581" t="str">
        <x:v>effect_m3_had_gs_resonance</x:v>
      </x:c>
      <x:c r="D581" t="str">
        <x:f>IF(COUNTIFS('Effect'!$A$2:$A$1001,'NumericValue'!B103)=1,"OK","ERROR")</x:f>
        <x:v>OK</x:v>
      </x:c>
    </x:row>
    <x:row r="582" ht="28" customHeight="1">
      <x:c r="A582" t="str">
        <x:v>NumericValue</x:v>
      </x:c>
      <x:c r="B582" t="str">
        <x:v>owner_id @ 104</x:v>
      </x:c>
      <x:c r="C582" t="str">
        <x:v>effect_m3_had_gs_resonance</x:v>
      </x:c>
      <x:c r="D582" t="str">
        <x:f>IF(COUNTIFS('Effect'!$A$2:$A$1001,'NumericValue'!B104)=1,"OK","ERROR")</x:f>
        <x:v>OK</x:v>
      </x:c>
    </x:row>
    <x:row r="583" ht="28" customHeight="1">
      <x:c r="A583" t="str">
        <x:v>NumericValue</x:v>
      </x:c>
      <x:c r="B583" t="str">
        <x:v>owner_id @ 105</x:v>
      </x:c>
      <x:c r="C583" t="str">
        <x:v>upgrade_m3_had_gs</x:v>
      </x:c>
      <x:c r="D583" t="str">
        <x:f>IF(COUNTIFS('Upgrade'!$A$2:$A$1001,'NumericValue'!B105)=1,"OK","ERROR")</x:f>
        <x:v>OK</x:v>
      </x:c>
    </x:row>
    <x:row r="584" ht="28" customHeight="1">
      <x:c r="A584" t="str">
        <x:v>NumericValue</x:v>
      </x:c>
      <x:c r="B584" t="str">
        <x:v>owner_id @ 106</x:v>
      </x:c>
      <x:c r="C584" t="str">
        <x:v>effect_m3_had_dg_base</x:v>
      </x:c>
      <x:c r="D584" t="str">
        <x:f>IF(COUNTIFS('Effect'!$A$2:$A$1001,'NumericValue'!B106)=1,"OK","ERROR")</x:f>
        <x:v>OK</x:v>
      </x:c>
    </x:row>
    <x:row r="585" ht="28" customHeight="1">
      <x:c r="A585" t="str">
        <x:v>NumericValue</x:v>
      </x:c>
      <x:c r="B585" t="str">
        <x:v>owner_id @ 107</x:v>
      </x:c>
      <x:c r="C585" t="str">
        <x:v>effect_m3_had_dg_base</x:v>
      </x:c>
      <x:c r="D585" t="str">
        <x:f>IF(COUNTIFS('Effect'!$A$2:$A$1001,'NumericValue'!B107)=1,"OK","ERROR")</x:f>
        <x:v>OK</x:v>
      </x:c>
    </x:row>
    <x:row r="586" ht="28" customHeight="1">
      <x:c r="A586" t="str">
        <x:v>NumericValue</x:v>
      </x:c>
      <x:c r="B586" t="str">
        <x:v>owner_id @ 108</x:v>
      </x:c>
      <x:c r="C586" t="str">
        <x:v>effect_m3_had_dg_base</x:v>
      </x:c>
      <x:c r="D586" t="str">
        <x:f>IF(COUNTIFS('Effect'!$A$2:$A$1001,'NumericValue'!B108)=1,"OK","ERROR")</x:f>
        <x:v>OK</x:v>
      </x:c>
    </x:row>
    <x:row r="587" ht="28" customHeight="1">
      <x:c r="A587" t="str">
        <x:v>NumericValue</x:v>
      </x:c>
      <x:c r="B587" t="str">
        <x:v>owner_id @ 109</x:v>
      </x:c>
      <x:c r="C587" t="str">
        <x:v>effect_m3_had_dg_resonance</x:v>
      </x:c>
      <x:c r="D587" t="str">
        <x:f>IF(COUNTIFS('Effect'!$A$2:$A$1001,'NumericValue'!B109)=1,"OK","ERROR")</x:f>
        <x:v>OK</x:v>
      </x:c>
    </x:row>
    <x:row r="588" ht="28" customHeight="1">
      <x:c r="A588" t="str">
        <x:v>NumericValue</x:v>
      </x:c>
      <x:c r="B588" t="str">
        <x:v>owner_id @ 110</x:v>
      </x:c>
      <x:c r="C588" t="str">
        <x:v>effect_m3_had_dg_resonance</x:v>
      </x:c>
      <x:c r="D588" t="str">
        <x:f>IF(COUNTIFS('Effect'!$A$2:$A$1001,'NumericValue'!B110)=1,"OK","ERROR")</x:f>
        <x:v>OK</x:v>
      </x:c>
    </x:row>
    <x:row r="589" ht="28" customHeight="1">
      <x:c r="A589" t="str">
        <x:v>NumericValue</x:v>
      </x:c>
      <x:c r="B589" t="str">
        <x:v>owner_id @ 111</x:v>
      </x:c>
      <x:c r="C589" t="str">
        <x:v>effect_m3_had_dg_resonance</x:v>
      </x:c>
      <x:c r="D589" t="str">
        <x:f>IF(COUNTIFS('Effect'!$A$2:$A$1001,'NumericValue'!B111)=1,"OK","ERROR")</x:f>
        <x:v>OK</x:v>
      </x:c>
    </x:row>
    <x:row r="590" ht="28" customHeight="1">
      <x:c r="A590" t="str">
        <x:v>NumericValue</x:v>
      </x:c>
      <x:c r="B590" t="str">
        <x:v>owner_id @ 112</x:v>
      </x:c>
      <x:c r="C590" t="str">
        <x:v>upgrade_m3_had_dg</x:v>
      </x:c>
      <x:c r="D590" t="str">
        <x:f>IF(COUNTIFS('Upgrade'!$A$2:$A$1001,'NumericValue'!B112)=1,"OK","ERROR")</x:f>
        <x:v>OK</x:v>
      </x:c>
    </x:row>
    <x:row r="591" ht="28" customHeight="1">
      <x:c r="A591" t="str">
        <x:v>NumericValue</x:v>
      </x:c>
      <x:c r="B591" t="str">
        <x:v>owner_id @ 113</x:v>
      </x:c>
      <x:c r="C591" t="str">
        <x:v>effect_m3_art_sp_base</x:v>
      </x:c>
      <x:c r="D591" t="str">
        <x:f>IF(COUNTIFS('Effect'!$A$2:$A$1001,'NumericValue'!B113)=1,"OK","ERROR")</x:f>
        <x:v>OK</x:v>
      </x:c>
    </x:row>
    <x:row r="592" ht="28" customHeight="1">
      <x:c r="A592" t="str">
        <x:v>NumericValue</x:v>
      </x:c>
      <x:c r="B592" t="str">
        <x:v>owner_id @ 114</x:v>
      </x:c>
      <x:c r="C592" t="str">
        <x:v>effect_m3_art_sp_base</x:v>
      </x:c>
      <x:c r="D592" t="str">
        <x:f>IF(COUNTIFS('Effect'!$A$2:$A$1001,'NumericValue'!B114)=1,"OK","ERROR")</x:f>
        <x:v>OK</x:v>
      </x:c>
    </x:row>
    <x:row r="593" ht="28" customHeight="1">
      <x:c r="A593" t="str">
        <x:v>NumericValue</x:v>
      </x:c>
      <x:c r="B593" t="str">
        <x:v>owner_id @ 115</x:v>
      </x:c>
      <x:c r="C593" t="str">
        <x:v>effect_m3_art_sp_resonance</x:v>
      </x:c>
      <x:c r="D593" t="str">
        <x:f>IF(COUNTIFS('Effect'!$A$2:$A$1001,'NumericValue'!B115)=1,"OK","ERROR")</x:f>
        <x:v>OK</x:v>
      </x:c>
    </x:row>
    <x:row r="594" ht="28" customHeight="1">
      <x:c r="A594" t="str">
        <x:v>NumericValue</x:v>
      </x:c>
      <x:c r="B594" t="str">
        <x:v>owner_id @ 116</x:v>
      </x:c>
      <x:c r="C594" t="str">
        <x:v>effect_m3_art_sp_resonance</x:v>
      </x:c>
      <x:c r="D594" t="str">
        <x:f>IF(COUNTIFS('Effect'!$A$2:$A$1001,'NumericValue'!B116)=1,"OK","ERROR")</x:f>
        <x:v>OK</x:v>
      </x:c>
    </x:row>
    <x:row r="595" ht="28" customHeight="1">
      <x:c r="A595" t="str">
        <x:v>NumericValue</x:v>
      </x:c>
      <x:c r="B595" t="str">
        <x:v>owner_id @ 117</x:v>
      </x:c>
      <x:c r="C595" t="str">
        <x:v>effect_m3_art_sp_resonance</x:v>
      </x:c>
      <x:c r="D595" t="str">
        <x:f>IF(COUNTIFS('Effect'!$A$2:$A$1001,'NumericValue'!B117)=1,"OK","ERROR")</x:f>
        <x:v>OK</x:v>
      </x:c>
    </x:row>
    <x:row r="596" ht="28" customHeight="1">
      <x:c r="A596" t="str">
        <x:v>NumericValue</x:v>
      </x:c>
      <x:c r="B596" t="str">
        <x:v>owner_id @ 118</x:v>
      </x:c>
      <x:c r="C596" t="str">
        <x:v>effect_m3_art_sp_resonance</x:v>
      </x:c>
      <x:c r="D596" t="str">
        <x:f>IF(COUNTIFS('Effect'!$A$2:$A$1001,'NumericValue'!B118)=1,"OK","ERROR")</x:f>
        <x:v>OK</x:v>
      </x:c>
    </x:row>
    <x:row r="597" ht="28" customHeight="1">
      <x:c r="A597" t="str">
        <x:v>NumericValue</x:v>
      </x:c>
      <x:c r="B597" t="str">
        <x:v>owner_id @ 119</x:v>
      </x:c>
      <x:c r="C597" t="str">
        <x:v>upgrade_m3_art_sp</x:v>
      </x:c>
      <x:c r="D597" t="str">
        <x:f>IF(COUNTIFS('Upgrade'!$A$2:$A$1001,'NumericValue'!B119)=1,"OK","ERROR")</x:f>
        <x:v>OK</x:v>
      </x:c>
    </x:row>
    <x:row r="598" ht="28" customHeight="1">
      <x:c r="A598" t="str">
        <x:v>NumericValue</x:v>
      </x:c>
      <x:c r="B598" t="str">
        <x:v>owner_id @ 120</x:v>
      </x:c>
      <x:c r="C598" t="str">
        <x:v>effect_m3_art_dg_base</x:v>
      </x:c>
      <x:c r="D598" t="str">
        <x:f>IF(COUNTIFS('Effect'!$A$2:$A$1001,'NumericValue'!B120)=1,"OK","ERROR")</x:f>
        <x:v>OK</x:v>
      </x:c>
    </x:row>
    <x:row r="599" ht="28" customHeight="1">
      <x:c r="A599" t="str">
        <x:v>NumericValue</x:v>
      </x:c>
      <x:c r="B599" t="str">
        <x:v>owner_id @ 121</x:v>
      </x:c>
      <x:c r="C599" t="str">
        <x:v>effect_m3_art_dg_base</x:v>
      </x:c>
      <x:c r="D599" t="str">
        <x:f>IF(COUNTIFS('Effect'!$A$2:$A$1001,'NumericValue'!B121)=1,"OK","ERROR")</x:f>
        <x:v>OK</x:v>
      </x:c>
    </x:row>
    <x:row r="600" ht="28" customHeight="1">
      <x:c r="A600" t="str">
        <x:v>NumericValue</x:v>
      </x:c>
      <x:c r="B600" t="str">
        <x:v>owner_id @ 122</x:v>
      </x:c>
      <x:c r="C600" t="str">
        <x:v>effect_m3_art_dg_base</x:v>
      </x:c>
      <x:c r="D600" t="str">
        <x:f>IF(COUNTIFS('Effect'!$A$2:$A$1001,'NumericValue'!B122)=1,"OK","ERROR")</x:f>
        <x:v>OK</x:v>
      </x:c>
    </x:row>
    <x:row r="601" ht="28" customHeight="1">
      <x:c r="A601" t="str">
        <x:v>NumericValue</x:v>
      </x:c>
      <x:c r="B601" t="str">
        <x:v>owner_id @ 123</x:v>
      </x:c>
      <x:c r="C601" t="str">
        <x:v>effect_m3_art_dg_resonance</x:v>
      </x:c>
      <x:c r="D601" t="str">
        <x:f>IF(COUNTIFS('Effect'!$A$2:$A$1001,'NumericValue'!B123)=1,"OK","ERROR")</x:f>
        <x:v>OK</x:v>
      </x:c>
    </x:row>
    <x:row r="602" ht="28" customHeight="1">
      <x:c r="A602" t="str">
        <x:v>NumericValue</x:v>
      </x:c>
      <x:c r="B602" t="str">
        <x:v>owner_id @ 124</x:v>
      </x:c>
      <x:c r="C602" t="str">
        <x:v>effect_m3_art_dg_resonance</x:v>
      </x:c>
      <x:c r="D602" t="str">
        <x:f>IF(COUNTIFS('Effect'!$A$2:$A$1001,'NumericValue'!B124)=1,"OK","ERROR")</x:f>
        <x:v>OK</x:v>
      </x:c>
    </x:row>
    <x:row r="603" ht="28" customHeight="1">
      <x:c r="A603" t="str">
        <x:v>NumericValue</x:v>
      </x:c>
      <x:c r="B603" t="str">
        <x:v>owner_id @ 125</x:v>
      </x:c>
      <x:c r="C603" t="str">
        <x:v>effect_m3_art_dg_resonance</x:v>
      </x:c>
      <x:c r="D603" t="str">
        <x:f>IF(COUNTIFS('Effect'!$A$2:$A$1001,'NumericValue'!B125)=1,"OK","ERROR")</x:f>
        <x:v>OK</x:v>
      </x:c>
    </x:row>
    <x:row r="604" ht="28" customHeight="1">
      <x:c r="A604" t="str">
        <x:v>NumericValue</x:v>
      </x:c>
      <x:c r="B604" t="str">
        <x:v>owner_id @ 126</x:v>
      </x:c>
      <x:c r="C604" t="str">
        <x:v>upgrade_m3_art_dg</x:v>
      </x:c>
      <x:c r="D604" t="str">
        <x:f>IF(COUNTIFS('Upgrade'!$A$2:$A$1001,'NumericValue'!B126)=1,"OK","ERROR")</x:f>
        <x:v>OK</x:v>
      </x:c>
    </x:row>
    <x:row r="605" ht="28" customHeight="1">
      <x:c r="A605" t="str">
        <x:v>NumericValue</x:v>
      </x:c>
      <x:c r="B605" t="str">
        <x:v>owner_id @ 127</x:v>
      </x:c>
      <x:c r="C605" t="str">
        <x:v>effect_m3_art_bw_base</x:v>
      </x:c>
      <x:c r="D605" t="str">
        <x:f>IF(COUNTIFS('Effect'!$A$2:$A$1001,'NumericValue'!B127)=1,"OK","ERROR")</x:f>
        <x:v>OK</x:v>
      </x:c>
    </x:row>
    <x:row r="606" ht="28" customHeight="1">
      <x:c r="A606" t="str">
        <x:v>NumericValue</x:v>
      </x:c>
      <x:c r="B606" t="str">
        <x:v>owner_id @ 128</x:v>
      </x:c>
      <x:c r="C606" t="str">
        <x:v>effect_m3_art_bw_base</x:v>
      </x:c>
      <x:c r="D606" t="str">
        <x:f>IF(COUNTIFS('Effect'!$A$2:$A$1001,'NumericValue'!B128)=1,"OK","ERROR")</x:f>
        <x:v>OK</x:v>
      </x:c>
    </x:row>
    <x:row r="607" ht="28" customHeight="1">
      <x:c r="A607" t="str">
        <x:v>NumericValue</x:v>
      </x:c>
      <x:c r="B607" t="str">
        <x:v>owner_id @ 129</x:v>
      </x:c>
      <x:c r="C607" t="str">
        <x:v>effect_m3_art_bw_resonance</x:v>
      </x:c>
      <x:c r="D607" t="str">
        <x:f>IF(COUNTIFS('Effect'!$A$2:$A$1001,'NumericValue'!B129)=1,"OK","ERROR")</x:f>
        <x:v>OK</x:v>
      </x:c>
    </x:row>
    <x:row r="608" ht="28" customHeight="1">
      <x:c r="A608" t="str">
        <x:v>NumericValue</x:v>
      </x:c>
      <x:c r="B608" t="str">
        <x:v>owner_id @ 130</x:v>
      </x:c>
      <x:c r="C608" t="str">
        <x:v>effect_m3_art_bw_resonance</x:v>
      </x:c>
      <x:c r="D608" t="str">
        <x:f>IF(COUNTIFS('Effect'!$A$2:$A$1001,'NumericValue'!B130)=1,"OK","ERROR")</x:f>
        <x:v>OK</x:v>
      </x:c>
    </x:row>
    <x:row r="609" ht="28" customHeight="1">
      <x:c r="A609" t="str">
        <x:v>NumericValue</x:v>
      </x:c>
      <x:c r="B609" t="str">
        <x:v>owner_id @ 131</x:v>
      </x:c>
      <x:c r="C609" t="str">
        <x:v>effect_m3_art_bw_resonance</x:v>
      </x:c>
      <x:c r="D609" t="str">
        <x:f>IF(COUNTIFS('Effect'!$A$2:$A$1001,'NumericValue'!B131)=1,"OK","ERROR")</x:f>
        <x:v>OK</x:v>
      </x:c>
    </x:row>
    <x:row r="610" ht="28" customHeight="1">
      <x:c r="A610" t="str">
        <x:v>NumericValue</x:v>
      </x:c>
      <x:c r="B610" t="str">
        <x:v>owner_id @ 132</x:v>
      </x:c>
      <x:c r="C610" t="str">
        <x:v>effect_m3_art_bw_resonance</x:v>
      </x:c>
      <x:c r="D610" t="str">
        <x:f>IF(COUNTIFS('Effect'!$A$2:$A$1001,'NumericValue'!B132)=1,"OK","ERROR")</x:f>
        <x:v>OK</x:v>
      </x:c>
    </x:row>
    <x:row r="611" ht="28" customHeight="1">
      <x:c r="A611" t="str">
        <x:v>NumericValue</x:v>
      </x:c>
      <x:c r="B611" t="str">
        <x:v>owner_id @ 133</x:v>
      </x:c>
      <x:c r="C611" t="str">
        <x:v>upgrade_m3_art_bw</x:v>
      </x:c>
      <x:c r="D611" t="str">
        <x:f>IF(COUNTIFS('Upgrade'!$A$2:$A$1001,'NumericValue'!B133)=1,"OK","ERROR")</x:f>
        <x:v>OK</x:v>
      </x:c>
    </x:row>
    <x:row r="612" ht="28" customHeight="1">
      <x:c r="A612" t="str">
        <x:v>NumericValue</x:v>
      </x:c>
      <x:c r="B612" t="str">
        <x:v>owner_id @ 134</x:v>
      </x:c>
      <x:c r="C612" t="str">
        <x:v>effect_m3_ska_bw_base</x:v>
      </x:c>
      <x:c r="D612" t="str">
        <x:f>IF(COUNTIFS('Effect'!$A$2:$A$1001,'NumericValue'!B134)=1,"OK","ERROR")</x:f>
        <x:v>OK</x:v>
      </x:c>
    </x:row>
    <x:row r="613" ht="28" customHeight="1">
      <x:c r="A613" t="str">
        <x:v>NumericValue</x:v>
      </x:c>
      <x:c r="B613" t="str">
        <x:v>owner_id @ 135</x:v>
      </x:c>
      <x:c r="C613" t="str">
        <x:v>effect_m3_ska_bw_base</x:v>
      </x:c>
      <x:c r="D613" t="str">
        <x:f>IF(COUNTIFS('Effect'!$A$2:$A$1001,'NumericValue'!B135)=1,"OK","ERROR")</x:f>
        <x:v>OK</x:v>
      </x:c>
    </x:row>
    <x:row r="614" ht="28" customHeight="1">
      <x:c r="A614" t="str">
        <x:v>NumericValue</x:v>
      </x:c>
      <x:c r="B614" t="str">
        <x:v>owner_id @ 136</x:v>
      </x:c>
      <x:c r="C614" t="str">
        <x:v>effect_m3_ska_bw_resonance</x:v>
      </x:c>
      <x:c r="D614" t="str">
        <x:f>IF(COUNTIFS('Effect'!$A$2:$A$1001,'NumericValue'!B136)=1,"OK","ERROR")</x:f>
        <x:v>OK</x:v>
      </x:c>
    </x:row>
    <x:row r="615" ht="28" customHeight="1">
      <x:c r="A615" t="str">
        <x:v>NumericValue</x:v>
      </x:c>
      <x:c r="B615" t="str">
        <x:v>owner_id @ 137</x:v>
      </x:c>
      <x:c r="C615" t="str">
        <x:v>effect_m3_ska_bw_resonance</x:v>
      </x:c>
      <x:c r="D615" t="str">
        <x:f>IF(COUNTIFS('Effect'!$A$2:$A$1001,'NumericValue'!B137)=1,"OK","ERROR")</x:f>
        <x:v>OK</x:v>
      </x:c>
    </x:row>
    <x:row r="616" ht="28" customHeight="1">
      <x:c r="A616" t="str">
        <x:v>NumericValue</x:v>
      </x:c>
      <x:c r="B616" t="str">
        <x:v>owner_id @ 138</x:v>
      </x:c>
      <x:c r="C616" t="str">
        <x:v>effect_m3_ska_bw_resonance</x:v>
      </x:c>
      <x:c r="D616" t="str">
        <x:f>IF(COUNTIFS('Effect'!$A$2:$A$1001,'NumericValue'!B138)=1,"OK","ERROR")</x:f>
        <x:v>OK</x:v>
      </x:c>
    </x:row>
    <x:row r="617" ht="28" customHeight="1">
      <x:c r="A617" t="str">
        <x:v>NumericValue</x:v>
      </x:c>
      <x:c r="B617" t="str">
        <x:v>owner_id @ 139</x:v>
      </x:c>
      <x:c r="C617" t="str">
        <x:v>effect_m3_ska_bw_resonance</x:v>
      </x:c>
      <x:c r="D617" t="str">
        <x:f>IF(COUNTIFS('Effect'!$A$2:$A$1001,'NumericValue'!B139)=1,"OK","ERROR")</x:f>
        <x:v>OK</x:v>
      </x:c>
    </x:row>
    <x:row r="618" ht="28" customHeight="1">
      <x:c r="A618" t="str">
        <x:v>NumericValue</x:v>
      </x:c>
      <x:c r="B618" t="str">
        <x:v>owner_id @ 140</x:v>
      </x:c>
      <x:c r="C618" t="str">
        <x:v>effect_m3_ska_bw_resonance</x:v>
      </x:c>
      <x:c r="D618" t="str">
        <x:f>IF(COUNTIFS('Effect'!$A$2:$A$1001,'NumericValue'!B140)=1,"OK","ERROR")</x:f>
        <x:v>OK</x:v>
      </x:c>
    </x:row>
    <x:row r="619" ht="28" customHeight="1">
      <x:c r="A619" t="str">
        <x:v>NumericValue</x:v>
      </x:c>
      <x:c r="B619" t="str">
        <x:v>owner_id @ 141</x:v>
      </x:c>
      <x:c r="C619" t="str">
        <x:v>upgrade_m3_ska_bw</x:v>
      </x:c>
      <x:c r="D619" t="str">
        <x:f>IF(COUNTIFS('Upgrade'!$A$2:$A$1001,'NumericValue'!B141)=1,"OK","ERROR")</x:f>
        <x:v>OK</x:v>
      </x:c>
    </x:row>
    <x:row r="620" ht="28" customHeight="1">
      <x:c r="A620" t="str">
        <x:v>NumericValue</x:v>
      </x:c>
      <x:c r="B620" t="str">
        <x:v>owner_id @ 142</x:v>
      </x:c>
      <x:c r="C620" t="str">
        <x:v>effect_m3_ska_st_base</x:v>
      </x:c>
      <x:c r="D620" t="str">
        <x:f>IF(COUNTIFS('Effect'!$A$2:$A$1001,'NumericValue'!B142)=1,"OK","ERROR")</x:f>
        <x:v>OK</x:v>
      </x:c>
    </x:row>
    <x:row r="621" ht="28" customHeight="1">
      <x:c r="A621" t="str">
        <x:v>NumericValue</x:v>
      </x:c>
      <x:c r="B621" t="str">
        <x:v>owner_id @ 143</x:v>
      </x:c>
      <x:c r="C621" t="str">
        <x:v>effect_m3_ska_st_base</x:v>
      </x:c>
      <x:c r="D621" t="str">
        <x:f>IF(COUNTIFS('Effect'!$A$2:$A$1001,'NumericValue'!B143)=1,"OK","ERROR")</x:f>
        <x:v>OK</x:v>
      </x:c>
    </x:row>
    <x:row r="622" ht="28" customHeight="1">
      <x:c r="A622" t="str">
        <x:v>NumericValue</x:v>
      </x:c>
      <x:c r="B622" t="str">
        <x:v>owner_id @ 144</x:v>
      </x:c>
      <x:c r="C622" t="str">
        <x:v>effect_m3_ska_st_resonance</x:v>
      </x:c>
      <x:c r="D622" t="str">
        <x:f>IF(COUNTIFS('Effect'!$A$2:$A$1001,'NumericValue'!B144)=1,"OK","ERROR")</x:f>
        <x:v>OK</x:v>
      </x:c>
    </x:row>
    <x:row r="623" ht="28" customHeight="1">
      <x:c r="A623" t="str">
        <x:v>NumericValue</x:v>
      </x:c>
      <x:c r="B623" t="str">
        <x:v>owner_id @ 145</x:v>
      </x:c>
      <x:c r="C623" t="str">
        <x:v>effect_m3_ska_st_resonance</x:v>
      </x:c>
      <x:c r="D623" t="str">
        <x:f>IF(COUNTIFS('Effect'!$A$2:$A$1001,'NumericValue'!B145)=1,"OK","ERROR")</x:f>
        <x:v>OK</x:v>
      </x:c>
    </x:row>
    <x:row r="624" ht="28" customHeight="1">
      <x:c r="A624" t="str">
        <x:v>NumericValue</x:v>
      </x:c>
      <x:c r="B624" t="str">
        <x:v>owner_id @ 146</x:v>
      </x:c>
      <x:c r="C624" t="str">
        <x:v>effect_m3_ska_st_resonance</x:v>
      </x:c>
      <x:c r="D624" t="str">
        <x:f>IF(COUNTIFS('Effect'!$A$2:$A$1001,'NumericValue'!B146)=1,"OK","ERROR")</x:f>
        <x:v>OK</x:v>
      </x:c>
    </x:row>
    <x:row r="625" ht="28" customHeight="1">
      <x:c r="A625" t="str">
        <x:v>NumericValue</x:v>
      </x:c>
      <x:c r="B625" t="str">
        <x:v>owner_id @ 147</x:v>
      </x:c>
      <x:c r="C625" t="str">
        <x:v>effect_m3_ska_st_resonance</x:v>
      </x:c>
      <x:c r="D625" t="str">
        <x:f>IF(COUNTIFS('Effect'!$A$2:$A$1001,'NumericValue'!B147)=1,"OK","ERROR")</x:f>
        <x:v>OK</x:v>
      </x:c>
    </x:row>
    <x:row r="626" ht="28" customHeight="1">
      <x:c r="A626" t="str">
        <x:v>NumericValue</x:v>
      </x:c>
      <x:c r="B626" t="str">
        <x:v>owner_id @ 148</x:v>
      </x:c>
      <x:c r="C626" t="str">
        <x:v>effect_m3_ska_st_resonance</x:v>
      </x:c>
      <x:c r="D626" t="str">
        <x:f>IF(COUNTIFS('Effect'!$A$2:$A$1001,'NumericValue'!B148)=1,"OK","ERROR")</x:f>
        <x:v>OK</x:v>
      </x:c>
    </x:row>
    <x:row r="627" ht="28" customHeight="1">
      <x:c r="A627" t="str">
        <x:v>NumericValue</x:v>
      </x:c>
      <x:c r="B627" t="str">
        <x:v>owner_id @ 149</x:v>
      </x:c>
      <x:c r="C627" t="str">
        <x:v>effect_m3_ska_st_resonance</x:v>
      </x:c>
      <x:c r="D627" t="str">
        <x:f>IF(COUNTIFS('Effect'!$A$2:$A$1001,'NumericValue'!B149)=1,"OK","ERROR")</x:f>
        <x:v>OK</x:v>
      </x:c>
    </x:row>
    <x:row r="628" ht="28" customHeight="1">
      <x:c r="A628" t="str">
        <x:v>NumericValue</x:v>
      </x:c>
      <x:c r="B628" t="str">
        <x:v>owner_id @ 150</x:v>
      </x:c>
      <x:c r="C628" t="str">
        <x:v>upgrade_m3_ska_st</x:v>
      </x:c>
      <x:c r="D628" t="str">
        <x:f>IF(COUNTIFS('Upgrade'!$A$2:$A$1001,'NumericValue'!B150)=1,"OK","ERROR")</x:f>
        <x:v>OK</x:v>
      </x:c>
    </x:row>
    <x:row r="629" ht="28" customHeight="1">
      <x:c r="A629" t="str">
        <x:v>NumericValue</x:v>
      </x:c>
      <x:c r="B629" t="str">
        <x:v>owner_id @ 151</x:v>
      </x:c>
      <x:c r="C629" t="str">
        <x:v>weapon_spear</x:v>
      </x:c>
      <x:c r="D629" t="str">
        <x:f>IF(COUNTIFS('Weapon'!$A$2:$A$1001,'NumericValue'!B151)=1,"OK","ERROR")</x:f>
        <x:v>OK</x:v>
      </x:c>
    </x:row>
    <x:row r="630" ht="28" customHeight="1">
      <x:c r="A630" t="str">
        <x:v>NumericValue</x:v>
      </x:c>
      <x:c r="B630" t="str">
        <x:v>owner_id @ 152</x:v>
      </x:c>
      <x:c r="C630" t="str">
        <x:v>weapon_spear</x:v>
      </x:c>
      <x:c r="D630" t="str">
        <x:f>IF(COUNTIFS('Weapon'!$A$2:$A$1001,'NumericValue'!B152)=1,"OK","ERROR")</x:f>
        <x:v>OK</x:v>
      </x:c>
    </x:row>
    <x:row r="631" ht="28" customHeight="1">
      <x:c r="A631" t="str">
        <x:v>NumericValue</x:v>
      </x:c>
      <x:c r="B631" t="str">
        <x:v>owner_id @ 153</x:v>
      </x:c>
      <x:c r="C631" t="str">
        <x:v>weapon_spear</x:v>
      </x:c>
      <x:c r="D631" t="str">
        <x:f>IF(COUNTIFS('Weapon'!$A$2:$A$1001,'NumericValue'!B153)=1,"OK","ERROR")</x:f>
        <x:v>OK</x:v>
      </x:c>
    </x:row>
    <x:row r="632" ht="28" customHeight="1">
      <x:c r="A632" t="str">
        <x:v>NumericValue</x:v>
      </x:c>
      <x:c r="B632" t="str">
        <x:v>owner_id @ 154</x:v>
      </x:c>
      <x:c r="C632" t="str">
        <x:v>weapon_spear</x:v>
      </x:c>
      <x:c r="D632" t="str">
        <x:f>IF(COUNTIFS('Weapon'!$A$2:$A$1001,'NumericValue'!B154)=1,"OK","ERROR")</x:f>
        <x:v>OK</x:v>
      </x:c>
    </x:row>
    <x:row r="633" ht="28" customHeight="1">
      <x:c r="A633" t="str">
        <x:v>NumericValue</x:v>
      </x:c>
      <x:c r="B633" t="str">
        <x:v>owner_id @ 155</x:v>
      </x:c>
      <x:c r="C633" t="str">
        <x:v>weapon_hammer</x:v>
      </x:c>
      <x:c r="D633" t="str">
        <x:f>IF(COUNTIFS('Weapon'!$A$2:$A$1001,'NumericValue'!B155)=1,"OK","ERROR")</x:f>
        <x:v>OK</x:v>
      </x:c>
    </x:row>
    <x:row r="634" ht="28" customHeight="1">
      <x:c r="A634" t="str">
        <x:v>NumericValue</x:v>
      </x:c>
      <x:c r="B634" t="str">
        <x:v>owner_id @ 156</x:v>
      </x:c>
      <x:c r="C634" t="str">
        <x:v>weapon_hammer</x:v>
      </x:c>
      <x:c r="D634" t="str">
        <x:f>IF(COUNTIFS('Weapon'!$A$2:$A$1001,'NumericValue'!B156)=1,"OK","ERROR")</x:f>
        <x:v>OK</x:v>
      </x:c>
    </x:row>
    <x:row r="635" ht="28" customHeight="1">
      <x:c r="A635" t="str">
        <x:v>NumericValue</x:v>
      </x:c>
      <x:c r="B635" t="str">
        <x:v>owner_id @ 157</x:v>
      </x:c>
      <x:c r="C635" t="str">
        <x:v>weapon_hammer</x:v>
      </x:c>
      <x:c r="D635" t="str">
        <x:f>IF(COUNTIFS('Weapon'!$A$2:$A$1001,'NumericValue'!B157)=1,"OK","ERROR")</x:f>
        <x:v>OK</x:v>
      </x:c>
    </x:row>
    <x:row r="636" ht="28" customHeight="1">
      <x:c r="A636" t="str">
        <x:v>NumericValue</x:v>
      </x:c>
      <x:c r="B636" t="str">
        <x:v>owner_id @ 158</x:v>
      </x:c>
      <x:c r="C636" t="str">
        <x:v>weapon_hammer</x:v>
      </x:c>
      <x:c r="D636" t="str">
        <x:f>IF(COUNTIFS('Weapon'!$A$2:$A$1001,'NumericValue'!B158)=1,"OK","ERROR")</x:f>
        <x:v>OK</x:v>
      </x:c>
    </x:row>
    <x:row r="637" ht="28" customHeight="1">
      <x:c r="A637" t="str">
        <x:v>NumericValue</x:v>
      </x:c>
      <x:c r="B637" t="str">
        <x:v>owner_id @ 159</x:v>
      </x:c>
      <x:c r="C637" t="str">
        <x:v>weapon_greatsword</x:v>
      </x:c>
      <x:c r="D637" t="str">
        <x:f>IF(COUNTIFS('Weapon'!$A$2:$A$1001,'NumericValue'!B159)=1,"OK","ERROR")</x:f>
        <x:v>OK</x:v>
      </x:c>
    </x:row>
    <x:row r="638" ht="28" customHeight="1">
      <x:c r="A638" t="str">
        <x:v>NumericValue</x:v>
      </x:c>
      <x:c r="B638" t="str">
        <x:v>owner_id @ 160</x:v>
      </x:c>
      <x:c r="C638" t="str">
        <x:v>weapon_greatsword</x:v>
      </x:c>
      <x:c r="D638" t="str">
        <x:f>IF(COUNTIFS('Weapon'!$A$2:$A$1001,'NumericValue'!B160)=1,"OK","ERROR")</x:f>
        <x:v>OK</x:v>
      </x:c>
    </x:row>
    <x:row r="639" ht="28" customHeight="1">
      <x:c r="A639" t="str">
        <x:v>NumericValue</x:v>
      </x:c>
      <x:c r="B639" t="str">
        <x:v>owner_id @ 161</x:v>
      </x:c>
      <x:c r="C639" t="str">
        <x:v>weapon_greatsword</x:v>
      </x:c>
      <x:c r="D639" t="str">
        <x:f>IF(COUNTIFS('Weapon'!$A$2:$A$1001,'NumericValue'!B161)=1,"OK","ERROR")</x:f>
        <x:v>OK</x:v>
      </x:c>
    </x:row>
    <x:row r="640" ht="28" customHeight="1">
      <x:c r="A640" t="str">
        <x:v>NumericValue</x:v>
      </x:c>
      <x:c r="B640" t="str">
        <x:v>owner_id @ 162</x:v>
      </x:c>
      <x:c r="C640" t="str">
        <x:v>weapon_greatsword</x:v>
      </x:c>
      <x:c r="D640" t="str">
        <x:f>IF(COUNTIFS('Weapon'!$A$2:$A$1001,'NumericValue'!B162)=1,"OK","ERROR")</x:f>
        <x:v>OK</x:v>
      </x:c>
    </x:row>
    <x:row r="641" ht="28" customHeight="1">
      <x:c r="A641" t="str">
        <x:v>NumericValue</x:v>
      </x:c>
      <x:c r="B641" t="str">
        <x:v>owner_id @ 163</x:v>
      </x:c>
      <x:c r="C641" t="str">
        <x:v>weapon_dagger</x:v>
      </x:c>
      <x:c r="D641" t="str">
        <x:f>IF(COUNTIFS('Weapon'!$A$2:$A$1001,'NumericValue'!B163)=1,"OK","ERROR")</x:f>
        <x:v>OK</x:v>
      </x:c>
    </x:row>
    <x:row r="642" ht="28" customHeight="1">
      <x:c r="A642" t="str">
        <x:v>NumericValue</x:v>
      </x:c>
      <x:c r="B642" t="str">
        <x:v>owner_id @ 164</x:v>
      </x:c>
      <x:c r="C642" t="str">
        <x:v>weapon_dagger</x:v>
      </x:c>
      <x:c r="D642" t="str">
        <x:f>IF(COUNTIFS('Weapon'!$A$2:$A$1001,'NumericValue'!B164)=1,"OK","ERROR")</x:f>
        <x:v>OK</x:v>
      </x:c>
    </x:row>
    <x:row r="643" ht="28" customHeight="1">
      <x:c r="A643" t="str">
        <x:v>NumericValue</x:v>
      </x:c>
      <x:c r="B643" t="str">
        <x:v>owner_id @ 165</x:v>
      </x:c>
      <x:c r="C643" t="str">
        <x:v>weapon_dagger</x:v>
      </x:c>
      <x:c r="D643" t="str">
        <x:f>IF(COUNTIFS('Weapon'!$A$2:$A$1001,'NumericValue'!B165)=1,"OK","ERROR")</x:f>
        <x:v>OK</x:v>
      </x:c>
    </x:row>
    <x:row r="644" ht="28" customHeight="1">
      <x:c r="A644" t="str">
        <x:v>NumericValue</x:v>
      </x:c>
      <x:c r="B644" t="str">
        <x:v>owner_id @ 166</x:v>
      </x:c>
      <x:c r="C644" t="str">
        <x:v>weapon_dagger</x:v>
      </x:c>
      <x:c r="D644" t="str">
        <x:f>IF(COUNTIFS('Weapon'!$A$2:$A$1001,'NumericValue'!B166)=1,"OK","ERROR")</x:f>
        <x:v>OK</x:v>
      </x:c>
    </x:row>
    <x:row r="645" ht="28" customHeight="1">
      <x:c r="A645" t="str">
        <x:v>NumericValue</x:v>
      </x:c>
      <x:c r="B645" t="str">
        <x:v>owner_id @ 167</x:v>
      </x:c>
      <x:c r="C645" t="str">
        <x:v>weapon_sword_shield</x:v>
      </x:c>
      <x:c r="D645" t="str">
        <x:f>IF(COUNTIFS('Weapon'!$A$2:$A$1001,'NumericValue'!B167)=1,"OK","ERROR")</x:f>
        <x:v>OK</x:v>
      </x:c>
    </x:row>
    <x:row r="646" ht="28" customHeight="1">
      <x:c r="A646" t="str">
        <x:v>NumericValue</x:v>
      </x:c>
      <x:c r="B646" t="str">
        <x:v>owner_id @ 168</x:v>
      </x:c>
      <x:c r="C646" t="str">
        <x:v>weapon_sword_shield</x:v>
      </x:c>
      <x:c r="D646" t="str">
        <x:f>IF(COUNTIFS('Weapon'!$A$2:$A$1001,'NumericValue'!B168)=1,"OK","ERROR")</x:f>
        <x:v>OK</x:v>
      </x:c>
    </x:row>
    <x:row r="647" ht="28" customHeight="1">
      <x:c r="A647" t="str">
        <x:v>NumericValue</x:v>
      </x:c>
      <x:c r="B647" t="str">
        <x:v>owner_id @ 169</x:v>
      </x:c>
      <x:c r="C647" t="str">
        <x:v>weapon_sword_shield</x:v>
      </x:c>
      <x:c r="D647" t="str">
        <x:f>IF(COUNTIFS('Weapon'!$A$2:$A$1001,'NumericValue'!B169)=1,"OK","ERROR")</x:f>
        <x:v>OK</x:v>
      </x:c>
    </x:row>
    <x:row r="648" ht="28" customHeight="1">
      <x:c r="A648" t="str">
        <x:v>NumericValue</x:v>
      </x:c>
      <x:c r="B648" t="str">
        <x:v>owner_id @ 170</x:v>
      </x:c>
      <x:c r="C648" t="str">
        <x:v>weapon_sword_shield</x:v>
      </x:c>
      <x:c r="D648" t="str">
        <x:f>IF(COUNTIFS('Weapon'!$A$2:$A$1001,'NumericValue'!B170)=1,"OK","ERROR")</x:f>
        <x:v>OK</x:v>
      </x:c>
    </x:row>
    <x:row r="649" ht="28" customHeight="1">
      <x:c r="A649" t="str">
        <x:v>NumericValue</x:v>
      </x:c>
      <x:c r="B649" t="str">
        <x:v>owner_id @ 171</x:v>
      </x:c>
      <x:c r="C649" t="str">
        <x:v>weapon_bow</x:v>
      </x:c>
      <x:c r="D649" t="str">
        <x:f>IF(COUNTIFS('Weapon'!$A$2:$A$1001,'NumericValue'!B171)=1,"OK","ERROR")</x:f>
        <x:v>OK</x:v>
      </x:c>
    </x:row>
    <x:row r="650" ht="28" customHeight="1">
      <x:c r="A650" t="str">
        <x:v>NumericValue</x:v>
      </x:c>
      <x:c r="B650" t="str">
        <x:v>owner_id @ 172</x:v>
      </x:c>
      <x:c r="C650" t="str">
        <x:v>weapon_bow</x:v>
      </x:c>
      <x:c r="D650" t="str">
        <x:f>IF(COUNTIFS('Weapon'!$A$2:$A$1001,'NumericValue'!B172)=1,"OK","ERROR")</x:f>
        <x:v>OK</x:v>
      </x:c>
    </x:row>
    <x:row r="651" ht="28" customHeight="1">
      <x:c r="A651" t="str">
        <x:v>NumericValue</x:v>
      </x:c>
      <x:c r="B651" t="str">
        <x:v>owner_id @ 173</x:v>
      </x:c>
      <x:c r="C651" t="str">
        <x:v>weapon_bow</x:v>
      </x:c>
      <x:c r="D651" t="str">
        <x:f>IF(COUNTIFS('Weapon'!$A$2:$A$1001,'NumericValue'!B173)=1,"OK","ERROR")</x:f>
        <x:v>OK</x:v>
      </x:c>
    </x:row>
    <x:row r="652" ht="28" customHeight="1">
      <x:c r="A652" t="str">
        <x:v>NumericValue</x:v>
      </x:c>
      <x:c r="B652" t="str">
        <x:v>owner_id @ 174</x:v>
      </x:c>
      <x:c r="C652" t="str">
        <x:v>weapon_bow</x:v>
      </x:c>
      <x:c r="D652" t="str">
        <x:f>IF(COUNTIFS('Weapon'!$A$2:$A$1001,'NumericValue'!B174)=1,"OK","ERROR")</x:f>
        <x:v>OK</x:v>
      </x:c>
    </x:row>
    <x:row r="653" ht="28" customHeight="1">
      <x:c r="A653" t="str">
        <x:v>NumericValue</x:v>
      </x:c>
      <x:c r="B653" t="str">
        <x:v>owner_id @ 175</x:v>
      </x:c>
      <x:c r="C653" t="str">
        <x:v>weapon_bow</x:v>
      </x:c>
      <x:c r="D653" t="str">
        <x:f>IF(COUNTIFS('Weapon'!$A$2:$A$1001,'NumericValue'!B175)=1,"OK","ERROR")</x:f>
        <x:v>OK</x:v>
      </x:c>
    </x:row>
    <x:row r="654" ht="28" customHeight="1">
      <x:c r="A654" t="str">
        <x:v>NumericValue</x:v>
      </x:c>
      <x:c r="B654" t="str">
        <x:v>owner_id @ 176</x:v>
      </x:c>
      <x:c r="C654" t="str">
        <x:v>weapon_staff</x:v>
      </x:c>
      <x:c r="D654" t="str">
        <x:f>IF(COUNTIFS('Weapon'!$A$2:$A$1001,'NumericValue'!B176)=1,"OK","ERROR")</x:f>
        <x:v>OK</x:v>
      </x:c>
    </x:row>
    <x:row r="655" ht="28" customHeight="1">
      <x:c r="A655" t="str">
        <x:v>NumericValue</x:v>
      </x:c>
      <x:c r="B655" t="str">
        <x:v>owner_id @ 177</x:v>
      </x:c>
      <x:c r="C655" t="str">
        <x:v>weapon_staff</x:v>
      </x:c>
      <x:c r="D655" t="str">
        <x:f>IF(COUNTIFS('Weapon'!$A$2:$A$1001,'NumericValue'!B177)=1,"OK","ERROR")</x:f>
        <x:v>OK</x:v>
      </x:c>
    </x:row>
    <x:row r="656" ht="28" customHeight="1">
      <x:c r="A656" t="str">
        <x:v>NumericValue</x:v>
      </x:c>
      <x:c r="B656" t="str">
        <x:v>owner_id @ 178</x:v>
      </x:c>
      <x:c r="C656" t="str">
        <x:v>weapon_staff</x:v>
      </x:c>
      <x:c r="D656" t="str">
        <x:f>IF(COUNTIFS('Weapon'!$A$2:$A$1001,'NumericValue'!B178)=1,"OK","ERROR")</x:f>
        <x:v>OK</x:v>
      </x:c>
    </x:row>
    <x:row r="657" ht="28" customHeight="1">
      <x:c r="A657" t="str">
        <x:v>NumericValue</x:v>
      </x:c>
      <x:c r="B657" t="str">
        <x:v>owner_id @ 179</x:v>
      </x:c>
      <x:c r="C657" t="str">
        <x:v>weapon_staff</x:v>
      </x:c>
      <x:c r="D657" t="str">
        <x:f>IF(COUNTIFS('Weapon'!$A$2:$A$1001,'NumericValue'!B179)=1,"OK","ERROR")</x:f>
        <x:v>OK</x:v>
      </x:c>
    </x:row>
    <x:row r="658" ht="28" customHeight="1">
      <x:c r="A658" t="str">
        <x:v>NumericValue</x:v>
      </x:c>
      <x:c r="B658" t="str">
        <x:v>owner_id @ 180</x:v>
      </x:c>
      <x:c r="C658" t="str">
        <x:v>weapon_staff</x:v>
      </x:c>
      <x:c r="D658" t="str">
        <x:f>IF(COUNTIFS('Weapon'!$A$2:$A$1001,'NumericValue'!B180)=1,"OK","ERROR")</x:f>
        <x:v>OK</x:v>
      </x:c>
    </x:row>
  </x:sheetData>
  <x:conditionalFormatting sqref="D2:D658">
    <x:cfRule type="containsText" dxfId="1" priority="1" operator="containsText" text="ERROR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B7D6B"/>
  </x:sheetPr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8" customHeight="1">
      <x:c r="A1" s="29" t="str">
        <x:v>항목</x:v>
      </x:c>
      <x:c r="B1" s="29" t="str">
        <x:v>운영 기준</x:v>
      </x:c>
    </x:row>
    <x:row r="2" ht="48" customHeight="1">
      <x:c r="A2" s="17" t="str">
        <x:v>원본</x:v>
      </x:c>
      <x:c r="B2" s="17" t="str">
        <x:v>이 Excel의 데이터 표가 작성 원본. 기획서 build-0.3은 동작 계약과 설화 근거</x:v>
      </x:c>
    </x:row>
    <x:row r="3" ht="48" customHeight="1">
      <x:c r="A3" s="17" t="str">
        <x:v>기획 경로</x:v>
      </x:c>
      <x:c r="B3" s="17" t="str">
        <x:v>Assets/Documentation/RoguelikeDesign/03 빌드와 무기/신성 테마와 무기 성장 계보.md</x:v>
      </x:c>
    </x:row>
    <x:row r="4" ht="48" customHeight="1">
      <x:c r="A4" s="17" t="str">
        <x:v>행 추가</x:v>
      </x:c>
      <x:c r="B4" s="17" t="str">
        <x:v>각 Excel Table 마지막 행에서 추가. ID는 재사용 금지. 숫자를 ID에 인코딩하지 않음</x:v>
      </x:c>
    </x:row>
    <x:row r="5" ht="48" customHeight="1">
      <x:c r="A5" s="17" t="str">
        <x:v>계보 확장</x:v>
      </x:c>
      <x:c r="B5" s="17" t="str">
        <x:v>ProgressionEdge에 from_type/from_id/to_upgrade_id 추가. 다중 부모 허용 구조지만 현재 Lineage는 부모 하나인 18개 경로의 검토 뷰</x:v>
      </x:c>
    </x:row>
    <x:row r="6" ht="48" customHeight="1">
      <x:c r="A6" s="17" t="str">
        <x:v>계보 뷰 갱신</x:v>
      </x:c>
      <x:c r="B6" s="17" t="str">
        <x:v>조회 수식은 표별 1,000행까지. 초과 시 범위 확장. 새 3차·다중 부모는 Lineage 경로 행도 추가</x:v>
      </x:c>
    </x:row>
    <x:row r="7" ht="48" customHeight="1">
      <x:c r="A7" s="17" t="str">
        <x:v>연결 확장</x:v>
      </x:c>
      <x:c r="B7" s="17" t="str">
        <x:v>새 행 추가 후 validator를 다시 실행. Audit의 검사항목 행도 새 참조 수만큼 추가해야 함</x:v>
      </x:c>
    </x:row>
    <x:row r="8" ht="48" customHeight="1">
      <x:c r="A8" s="17" t="str">
        <x:v>숫자 확장</x:v>
      </x:c>
      <x:c r="B8" s="17" t="str">
        <x:v>새 효과 수치는 ParameterDefinition에 타입·단위·범위 등록 후 NumericValue에 소유자+매개값 행 추가</x:v>
      </x:c>
    </x:row>
    <x:row r="9" ht="48" customHeight="1">
      <x:c r="A9" s="17" t="str">
        <x:v>숫자 상태</x:v>
      </x:c>
      <x:c r="B9" s="17" t="str">
        <x:v>pending=빈 값, provisional=임시 입력, fixed=규칙 또는 채택값. 미정 값의 0 대체 금지</x:v>
      </x:c>
    </x:row>
    <x:row r="10" ht="48" customHeight="1">
      <x:c r="A10" s="17" t="str">
        <x:v>복합 키</x:v>
      </x:c>
      <x:c r="B10" s="17" t="str">
        <x:v>NumericValue(owner_table,owner_id,parameter_id), UpgradeEffect(upgrade_id,effect_id), Text(name_key,locale)</x:v>
      </x:c>
    </x:row>
    <x:row r="11" ht="48" customHeight="1">
      <x:c r="A11" s="17" t="str">
        <x:v>단계 번호</x:v>
      </x:c>
      <x:c r="B11" s="17" t="str">
        <x:v>이번 authoring 스키마는 weapon 1/2/3, divinity 1/2/3. 기존 runtime 인덱스 대응은 후속</x:v>
      </x:c>
    </x:row>
    <x:row r="12" ht="48" customHeight="1">
      <x:c r="A12" s="17" t="str">
        <x:v>강화 적용</x:v>
      </x:c>
      <x:c r="B12" s="17" t="str">
        <x:v>replace_parent_base: 이전 기본 프로필을 제거하고 새 기본 프로필 설치. 누적 덧셈 금지</x:v>
      </x:c>
    </x:row>
    <x:row r="13" ht="48" customHeight="1">
      <x:c r="A13" s="17" t="str">
        <x:v>신성 공명</x:v>
      </x:c>
      <x:c r="B13" s="17" t="str">
        <x:v>UpgradeEffect.layer=resonance인 행만 divinity_id와 min_divinity_stage 사용. 조건 이탈 시 해당 효과 제거</x:v>
      </x:c>
    </x:row>
    <x:row r="14" ht="48" customHeight="1">
      <x:c r="A14" s="17" t="str">
        <x:v>일반 카드</x:v>
      </x:c>
      <x:c r="B14" s="17" t="str">
        <x:v>theme_divinity_id는 분류용이며 일반 카드 장착에 신성 조건을 부여하지 않음</x:v>
      </x:c>
    </x:row>
    <x:row r="15" ht="48" customHeight="1">
      <x:c r="A15" s="17" t="str">
        <x:v>효과 표현</x:v>
      </x:c>
      <x:c r="B15" s="17" t="str">
        <x:v>Effect는 실행 가능한 원자 명령이 아닌 기획 프로필. profile_key와 설명으로 연결하고 구현 시 분해</x:v>
      </x:c>
    </x:row>
    <x:row r="16" ht="48" customHeight="1">
      <x:c r="A16" s="17" t="str">
        <x:v>미포함 데이터</x:v>
      </x:c>
      <x:c r="B16" s="17" t="str">
        <x:v>태그·조건식·장인 풀·연격 세부·모션·카드 원자 효과는 Pending에 명시. 가짜 ID를 연결하지 않음</x:v>
      </x:c>
    </x:row>
    <x:row r="17" ht="48" customHeight="1">
      <x:c r="A17" s="17" t="str">
        <x:v>지원 범위</x:v>
      </x:c>
      <x:c r="B17" s="17" t="str">
        <x:v>구조 검사 통과와 게임 실행 가능은 다름. 런타임 enabled는 모두 FALSE</x:v>
      </x:c>
    </x:row>
    <x:row r="18" ht="48" customHeight="1">
      <x:c r="A18" s="17" t="str">
        <x:v>검증 명령</x:v>
      </x:c>
      <x:c r="B18" s="17" t="str">
        <x:v>python Tools/GameData/validate_myth_workbook.py &lt;xlsx 경로&gt;</x:v>
      </x:c>
    </x:row>
    <x:row r="19" ht="48" customHeight="1">
      <x:c r="A19" s="17" t="str">
        <x:v>색상</x:v>
      </x:c>
      <x:c r="B19" s="17" t="str">
        <x:v>황색은 입력할 수치 또는 pending 상태. 다른 수식 결과는 직접 수정하지 않음</x:v>
      </x:c>
    </x:row>
    <x:row r="20" ht="48" customHeight="1">
      <x:c r="A20" s="17" t="str">
        <x:v>검증 범위</x:v>
      </x:c>
      <x:c r="B20" s="17" t="str">
        <x:v>ID/복합키/FK/단계/동일 무기 종류/순환/효과 출처/수치타입·범위·빈값/기획 누락</x:v>
      </x:c>
    </x:row>
    <x:row r="21" ht="48" customHeight="1">
      <x:c r="A21" s="17" t="str">
        <x:v>갱신일</x:v>
      </x:c>
      <x:c r="B21" s="17" t="str">
        <x:v>2026-10-12</x:v>
      </x:c>
    </x:row>
  </x:sheetData>
  <x:pageMargins left="0.7" right="0.7" top="0.75" bottom="0.75" header="0.3" footer="0.3"/>
</x:worksheet>
</file>